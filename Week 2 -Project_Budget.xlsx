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HTROS004\Downloads\"/>
    </mc:Choice>
  </mc:AlternateContent>
  <xr:revisionPtr revIDLastSave="0" documentId="13_ncr:1_{388A62AF-AED9-4998-8ECC-CF5662EDD50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roject Budget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4" i="1" l="1"/>
  <c r="F23" i="1"/>
  <c r="F25" i="1" s="1"/>
  <c r="F21" i="1"/>
  <c r="F20" i="1"/>
  <c r="F19" i="1"/>
  <c r="F18" i="1"/>
  <c r="F22" i="1" s="1"/>
  <c r="F16" i="1"/>
  <c r="F17" i="1" s="1"/>
  <c r="F14" i="1"/>
  <c r="F13" i="1"/>
  <c r="F12" i="1"/>
  <c r="F11" i="1"/>
  <c r="F15" i="1" s="1"/>
  <c r="F9" i="1"/>
  <c r="F10" i="1" s="1"/>
  <c r="F8" i="1"/>
  <c r="F7" i="1"/>
  <c r="F26" i="1" l="1"/>
  <c r="F28" i="1" s="1"/>
  <c r="F29" i="1" s="1"/>
  <c r="F34" i="1" s="1"/>
  <c r="F35" i="1" s="1"/>
</calcChain>
</file>

<file path=xl/sharedStrings.xml><?xml version="1.0" encoding="utf-8"?>
<sst xmlns="http://schemas.openxmlformats.org/spreadsheetml/2006/main" count="68" uniqueCount="49">
  <si>
    <t>AnalystLab Africa Consulting</t>
  </si>
  <si>
    <t>Project Budget</t>
  </si>
  <si>
    <t>Category</t>
  </si>
  <si>
    <t>Line Item</t>
  </si>
  <si>
    <t>Rate (R)</t>
  </si>
  <si>
    <t>Unit</t>
  </si>
  <si>
    <t>Quantity</t>
  </si>
  <si>
    <t>Extended Cost (R)</t>
  </si>
  <si>
    <t>Personnel</t>
  </si>
  <si>
    <t>per person-week</t>
  </si>
  <si>
    <t>Personnel Subtotal</t>
  </si>
  <si>
    <t>Software Licences</t>
  </si>
  <si>
    <t>seat-month</t>
  </si>
  <si>
    <t>per month</t>
  </si>
  <si>
    <t>BI Dashboard tool (e.g. Power BI Pro, 5 seats x 5 months)</t>
  </si>
  <si>
    <t>Misc. developer tooling / IDE licences</t>
  </si>
  <si>
    <t>lump sum</t>
  </si>
  <si>
    <t>Software Licences Subtotal</t>
  </si>
  <si>
    <t>Hardware</t>
  </si>
  <si>
    <t>Peripherals / minor equipment upgrades (existing laptops retained)</t>
  </si>
  <si>
    <t>Hardware Subtotal</t>
  </si>
  <si>
    <t>Cloud Services</t>
  </si>
  <si>
    <t>Dashboard hosting</t>
  </si>
  <si>
    <t>Data egress / networking</t>
  </si>
  <si>
    <t>Cloud Services Subtotal</t>
  </si>
  <si>
    <t>Training</t>
  </si>
  <si>
    <t>Marketing &amp; Customer Service dashboard training (materials + facilitation)</t>
  </si>
  <si>
    <t>Internal IT/Data team handover training (monitoring &amp; retraining)</t>
  </si>
  <si>
    <t>Training Subtotal</t>
  </si>
  <si>
    <t>Estimated Project Subtotal (before contingency)</t>
  </si>
  <si>
    <t>Contingency Rate</t>
  </si>
  <si>
    <t>Contingency Reserve</t>
  </si>
  <si>
    <t>TOTAL ESTIMATED PROJECT BUDGET</t>
  </si>
  <si>
    <t>Comparison to Approved Charter Budget (Section 7)</t>
  </si>
  <si>
    <t>Amount (R)</t>
  </si>
  <si>
    <t>Approved Budget Ceiling (Charter Section 7, incl. 10% contingency)</t>
  </si>
  <si>
    <t>This Estimated Total Budget</t>
  </si>
  <si>
    <t>Headroom vs. Approved Ceiling</t>
  </si>
  <si>
    <t>Notes &amp; Assumptions</t>
  </si>
  <si>
    <t>• Software, cloud and training line items are estimates for planning purposes; actual invoiced amounts should replace these once vendor quotes are confirmed.</t>
  </si>
  <si>
    <t>Project: AI-Powered Customer Churn Prediction &amp; Retention System : Tarrose Retail</t>
  </si>
  <si>
    <t>Project Manager -governance, delivery, phase-gate coordination</t>
  </si>
  <si>
    <t>Data Engineer -data assessment, integration pipeline, quality validation</t>
  </si>
  <si>
    <t>Data Scientist -model build, validation, segmentation, retraining design</t>
  </si>
  <si>
    <t>Asana -project management (5 seats x 5 months)</t>
  </si>
  <si>
    <t>GitHub Team -source-controlled documentation &amp; code</t>
  </si>
  <si>
    <t>Cloud compute -model training &amp; pipeline processing</t>
  </si>
  <si>
    <t>Cloud data warehouse / storage -unified customer dataset</t>
  </si>
  <si>
    <t>• Tarrose Retail's own staff (IT Lead, Compliance Officer, Marketing &amp; Customer Service Team, Internal IT/Data Team) are not costed here -their time is provided by the client, not billed against this consulting budget.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</si>
</sst>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b/>
      <sz val="12"/>
      <name val="Arial"/>
      <family val="2"/>
    </font>
    <font>
      <sz val="11"/>
      <name val="Calibri"/>
      <family val="2"/>
      <charset val="1"/>
    </font>
    <font>
      <b/>
      <sz val="14"/>
      <name val="Arial"/>
      <family val="2"/>
    </font>
    <font>
      <sz val="11"/>
      <name val="Arial"/>
      <family val="2"/>
    </font>
    <font>
      <i/>
      <sz val="9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9"/>
      <color theme="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2F3"/>
        <bgColor rgb="FFBDD7EE"/>
      </patternFill>
    </fill>
    <fill>
      <patternFill patternType="solid">
        <fgColor rgb="FFBDD7EE"/>
        <bgColor rgb="FFD9E2F3"/>
      </patternFill>
    </fill>
    <fill>
      <patternFill patternType="solid">
        <fgColor theme="1"/>
        <bgColor rgb="FF333399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3" fontId="8" fillId="0" borderId="1" xfId="0" applyNumberFormat="1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7" fillId="3" borderId="1" xfId="0" applyFont="1" applyFill="1" applyBorder="1"/>
    <xf numFmtId="0" fontId="2" fillId="3" borderId="1" xfId="0" applyFont="1" applyFill="1" applyBorder="1"/>
    <xf numFmtId="3" fontId="7" fillId="3" borderId="1" xfId="0" applyNumberFormat="1" applyFont="1" applyFill="1" applyBorder="1"/>
    <xf numFmtId="0" fontId="7" fillId="4" borderId="1" xfId="0" applyFont="1" applyFill="1" applyBorder="1"/>
    <xf numFmtId="3" fontId="7" fillId="4" borderId="1" xfId="0" applyNumberFormat="1" applyFont="1" applyFill="1" applyBorder="1"/>
    <xf numFmtId="0" fontId="8" fillId="0" borderId="0" xfId="0" applyFont="1"/>
    <xf numFmtId="9" fontId="8" fillId="0" borderId="0" xfId="0" applyNumberFormat="1" applyFont="1"/>
    <xf numFmtId="0" fontId="9" fillId="2" borderId="1" xfId="0" applyFont="1" applyFill="1" applyBorder="1"/>
    <xf numFmtId="3" fontId="9" fillId="2" borderId="1" xfId="0" applyNumberFormat="1" applyFont="1" applyFill="1" applyBorder="1"/>
    <xf numFmtId="0" fontId="6" fillId="2" borderId="1" xfId="0" applyFont="1" applyFill="1" applyBorder="1"/>
    <xf numFmtId="0" fontId="2" fillId="0" borderId="1" xfId="0" applyFont="1" applyBorder="1"/>
    <xf numFmtId="3" fontId="8" fillId="0" borderId="1" xfId="0" applyNumberFormat="1" applyFont="1" applyBorder="1"/>
    <xf numFmtId="0" fontId="10" fillId="5" borderId="2" xfId="0" applyFont="1" applyFill="1" applyBorder="1" applyAlignment="1">
      <alignment horizontal="center" vertical="center" wrapText="1"/>
    </xf>
    <xf numFmtId="0" fontId="2" fillId="3" borderId="3" xfId="0" applyFont="1" applyFill="1" applyBorder="1"/>
    <xf numFmtId="3" fontId="7" fillId="3" borderId="3" xfId="0" applyNumberFormat="1" applyFont="1" applyFill="1" applyBorder="1"/>
    <xf numFmtId="0" fontId="5" fillId="0" borderId="0" xfId="0" applyFont="1" applyAlignment="1">
      <alignment vertical="top" wrapText="1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3">
    <dxf>
      <border outline="0"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2"/>
        <name val="Arial"/>
        <family val="2"/>
        <scheme val="none"/>
      </font>
      <fill>
        <patternFill patternType="solid">
          <fgColor rgb="FF333399"/>
          <bgColor theme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D9E2F3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D88733-F003-4655-A497-58BDBCE8BC6B}" name="Table2" displayName="Table2" ref="A6:F35" totalsRowShown="0" headerRowDxfId="2" headerRowBorderDxfId="1" tableBorderDxfId="0">
  <autoFilter ref="A6:F35" xr:uid="{CCD88733-F003-4655-A497-58BDBCE8BC6B}"/>
  <tableColumns count="6">
    <tableColumn id="1" xr3:uid="{87761090-251A-4510-A5E3-BE89C5C6A796}" name="Category"/>
    <tableColumn id="2" xr3:uid="{9E548BAF-ECDA-4C5C-8F05-CBA9D542A978}" name="Line Item"/>
    <tableColumn id="3" xr3:uid="{EDB8B5EE-7558-42DA-BB56-EC44DA17B77B}" name="Rate (R)"/>
    <tableColumn id="4" xr3:uid="{95E2A847-BAA9-4268-A6FF-55894C754FBA}" name="Unit"/>
    <tableColumn id="5" xr3:uid="{84B0C682-8C55-4F8F-8442-22C186D23641}" name="Quantity"/>
    <tableColumn id="6" xr3:uid="{C5159001-CA6B-4A1F-B3DB-60717ECEA508}" name="Extended Cost (R)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"/>
  <sheetViews>
    <sheetView tabSelected="1" zoomScaleNormal="100" workbookViewId="0">
      <pane ySplit="6" topLeftCell="A7" activePane="bottomLeft" state="frozen"/>
      <selection pane="bottomLeft" activeCell="A42" sqref="A42:F43"/>
    </sheetView>
  </sheetViews>
  <sheetFormatPr defaultColWidth="39.21875" defaultRowHeight="14.4" x14ac:dyDescent="0.3"/>
  <cols>
    <col min="1" max="2" width="39.21875" style="2"/>
    <col min="3" max="3" width="18" style="2" customWidth="1"/>
    <col min="4" max="4" width="15.33203125" style="2" customWidth="1"/>
    <col min="5" max="5" width="16" style="2" customWidth="1"/>
    <col min="6" max="6" width="39.21875" style="2" customWidth="1"/>
  </cols>
  <sheetData>
    <row r="1" spans="1:6" ht="17.399999999999999" x14ac:dyDescent="0.3">
      <c r="A1" s="24" t="s">
        <v>0</v>
      </c>
      <c r="B1" s="24"/>
      <c r="C1" s="24"/>
      <c r="D1" s="24"/>
      <c r="E1" s="24"/>
      <c r="F1" s="24"/>
    </row>
    <row r="2" spans="1:6" ht="14.4" customHeight="1" x14ac:dyDescent="0.3">
      <c r="A2" s="25" t="s">
        <v>1</v>
      </c>
      <c r="B2" s="25"/>
      <c r="C2" s="25"/>
      <c r="D2" s="25"/>
      <c r="E2" s="25"/>
      <c r="F2" s="25"/>
    </row>
    <row r="3" spans="1:6" x14ac:dyDescent="0.3">
      <c r="A3" s="26" t="s">
        <v>40</v>
      </c>
      <c r="B3" s="26"/>
      <c r="C3" s="26"/>
      <c r="D3" s="26"/>
      <c r="E3" s="26"/>
      <c r="F3" s="26"/>
    </row>
    <row r="4" spans="1:6" x14ac:dyDescent="0.3">
      <c r="A4" s="3"/>
    </row>
    <row r="6" spans="1:6" ht="21.75" customHeight="1" x14ac:dyDescent="0.3">
      <c r="A6" s="20" t="s">
        <v>2</v>
      </c>
      <c r="B6" s="20" t="s">
        <v>3</v>
      </c>
      <c r="C6" s="20" t="s">
        <v>4</v>
      </c>
      <c r="D6" s="20" t="s">
        <v>5</v>
      </c>
      <c r="E6" s="20" t="s">
        <v>6</v>
      </c>
      <c r="F6" s="20" t="s">
        <v>7</v>
      </c>
    </row>
    <row r="7" spans="1:6" ht="26.4" x14ac:dyDescent="0.3">
      <c r="A7" s="4" t="s">
        <v>8</v>
      </c>
      <c r="B7" s="5" t="s">
        <v>41</v>
      </c>
      <c r="C7" s="6">
        <v>18000</v>
      </c>
      <c r="D7" s="7" t="s">
        <v>9</v>
      </c>
      <c r="E7" s="7">
        <v>10</v>
      </c>
      <c r="F7" s="6">
        <f>C7*E7</f>
        <v>180000</v>
      </c>
    </row>
    <row r="8" spans="1:6" ht="26.4" x14ac:dyDescent="0.3">
      <c r="A8" s="4" t="s">
        <v>8</v>
      </c>
      <c r="B8" s="5" t="s">
        <v>42</v>
      </c>
      <c r="C8" s="6">
        <v>24000</v>
      </c>
      <c r="D8" s="7" t="s">
        <v>9</v>
      </c>
      <c r="E8" s="7">
        <v>6</v>
      </c>
      <c r="F8" s="6">
        <f>C8*E8</f>
        <v>144000</v>
      </c>
    </row>
    <row r="9" spans="1:6" ht="26.4" x14ac:dyDescent="0.3">
      <c r="A9" s="4" t="s">
        <v>8</v>
      </c>
      <c r="B9" s="5" t="s">
        <v>43</v>
      </c>
      <c r="C9" s="6">
        <v>26000</v>
      </c>
      <c r="D9" s="7" t="s">
        <v>9</v>
      </c>
      <c r="E9" s="7">
        <v>9</v>
      </c>
      <c r="F9" s="6">
        <f>C9*E9</f>
        <v>234000</v>
      </c>
    </row>
    <row r="10" spans="1:6" x14ac:dyDescent="0.3">
      <c r="A10" s="8" t="s">
        <v>10</v>
      </c>
      <c r="B10" s="9"/>
      <c r="C10" s="9"/>
      <c r="D10" s="9"/>
      <c r="E10" s="9"/>
      <c r="F10" s="10">
        <f>SUM(F7:F9)</f>
        <v>558000</v>
      </c>
    </row>
    <row r="11" spans="1:6" ht="26.4" x14ac:dyDescent="0.3">
      <c r="A11" s="4" t="s">
        <v>11</v>
      </c>
      <c r="B11" s="5" t="s">
        <v>44</v>
      </c>
      <c r="C11" s="6">
        <v>500</v>
      </c>
      <c r="D11" s="7" t="s">
        <v>12</v>
      </c>
      <c r="E11" s="7">
        <v>25</v>
      </c>
      <c r="F11" s="6">
        <f>C11*E11</f>
        <v>12500</v>
      </c>
    </row>
    <row r="12" spans="1:6" ht="26.4" x14ac:dyDescent="0.3">
      <c r="A12" s="4" t="s">
        <v>11</v>
      </c>
      <c r="B12" s="5" t="s">
        <v>45</v>
      </c>
      <c r="C12" s="6">
        <v>600</v>
      </c>
      <c r="D12" s="7" t="s">
        <v>13</v>
      </c>
      <c r="E12" s="7">
        <v>5</v>
      </c>
      <c r="F12" s="6">
        <f>C12*E12</f>
        <v>3000</v>
      </c>
    </row>
    <row r="13" spans="1:6" ht="26.4" x14ac:dyDescent="0.3">
      <c r="A13" s="4" t="s">
        <v>11</v>
      </c>
      <c r="B13" s="5" t="s">
        <v>14</v>
      </c>
      <c r="C13" s="6">
        <v>600</v>
      </c>
      <c r="D13" s="7" t="s">
        <v>12</v>
      </c>
      <c r="E13" s="7">
        <v>25</v>
      </c>
      <c r="F13" s="6">
        <f>C13*E13</f>
        <v>15000</v>
      </c>
    </row>
    <row r="14" spans="1:6" x14ac:dyDescent="0.3">
      <c r="A14" s="4" t="s">
        <v>11</v>
      </c>
      <c r="B14" s="5" t="s">
        <v>15</v>
      </c>
      <c r="C14" s="6">
        <v>5000</v>
      </c>
      <c r="D14" s="7" t="s">
        <v>16</v>
      </c>
      <c r="E14" s="7">
        <v>1</v>
      </c>
      <c r="F14" s="6">
        <f>C14*E14</f>
        <v>5000</v>
      </c>
    </row>
    <row r="15" spans="1:6" x14ac:dyDescent="0.3">
      <c r="A15" s="8" t="s">
        <v>17</v>
      </c>
      <c r="B15" s="9"/>
      <c r="C15" s="9"/>
      <c r="D15" s="9"/>
      <c r="E15" s="9"/>
      <c r="F15" s="10">
        <f>SUM(F11:F14)</f>
        <v>35500</v>
      </c>
    </row>
    <row r="16" spans="1:6" ht="26.4" x14ac:dyDescent="0.3">
      <c r="A16" s="4" t="s">
        <v>18</v>
      </c>
      <c r="B16" s="5" t="s">
        <v>19</v>
      </c>
      <c r="C16" s="6">
        <v>15000</v>
      </c>
      <c r="D16" s="7" t="s">
        <v>16</v>
      </c>
      <c r="E16" s="7">
        <v>1</v>
      </c>
      <c r="F16" s="6">
        <f>C16*E16</f>
        <v>15000</v>
      </c>
    </row>
    <row r="17" spans="1:6" x14ac:dyDescent="0.3">
      <c r="A17" s="8" t="s">
        <v>20</v>
      </c>
      <c r="B17" s="9"/>
      <c r="C17" s="9"/>
      <c r="D17" s="9"/>
      <c r="E17" s="9"/>
      <c r="F17" s="10">
        <f>SUM(F16:F16)</f>
        <v>15000</v>
      </c>
    </row>
    <row r="18" spans="1:6" ht="26.4" x14ac:dyDescent="0.3">
      <c r="A18" s="4" t="s">
        <v>21</v>
      </c>
      <c r="B18" s="5" t="s">
        <v>46</v>
      </c>
      <c r="C18" s="6">
        <v>8000</v>
      </c>
      <c r="D18" s="7" t="s">
        <v>13</v>
      </c>
      <c r="E18" s="7">
        <v>5</v>
      </c>
      <c r="F18" s="6">
        <f>C18*E18</f>
        <v>40000</v>
      </c>
    </row>
    <row r="19" spans="1:6" ht="26.4" x14ac:dyDescent="0.3">
      <c r="A19" s="4" t="s">
        <v>21</v>
      </c>
      <c r="B19" s="5" t="s">
        <v>47</v>
      </c>
      <c r="C19" s="6">
        <v>4000</v>
      </c>
      <c r="D19" s="7" t="s">
        <v>13</v>
      </c>
      <c r="E19" s="7">
        <v>5</v>
      </c>
      <c r="F19" s="6">
        <f>C19*E19</f>
        <v>20000</v>
      </c>
    </row>
    <row r="20" spans="1:6" x14ac:dyDescent="0.3">
      <c r="A20" s="4" t="s">
        <v>21</v>
      </c>
      <c r="B20" s="5" t="s">
        <v>22</v>
      </c>
      <c r="C20" s="6">
        <v>2000</v>
      </c>
      <c r="D20" s="7" t="s">
        <v>13</v>
      </c>
      <c r="E20" s="7">
        <v>5</v>
      </c>
      <c r="F20" s="6">
        <f>C20*E20</f>
        <v>10000</v>
      </c>
    </row>
    <row r="21" spans="1:6" x14ac:dyDescent="0.3">
      <c r="A21" s="4" t="s">
        <v>21</v>
      </c>
      <c r="B21" s="5" t="s">
        <v>23</v>
      </c>
      <c r="C21" s="6">
        <v>10000</v>
      </c>
      <c r="D21" s="7" t="s">
        <v>16</v>
      </c>
      <c r="E21" s="7">
        <v>1</v>
      </c>
      <c r="F21" s="6">
        <f>C21*E21</f>
        <v>10000</v>
      </c>
    </row>
    <row r="22" spans="1:6" x14ac:dyDescent="0.3">
      <c r="A22" s="8" t="s">
        <v>24</v>
      </c>
      <c r="B22" s="9"/>
      <c r="C22" s="9"/>
      <c r="D22" s="9"/>
      <c r="E22" s="9"/>
      <c r="F22" s="10">
        <f>SUM(F18:F21)</f>
        <v>80000</v>
      </c>
    </row>
    <row r="23" spans="1:6" ht="26.4" x14ac:dyDescent="0.3">
      <c r="A23" s="4" t="s">
        <v>25</v>
      </c>
      <c r="B23" s="5" t="s">
        <v>26</v>
      </c>
      <c r="C23" s="6">
        <v>20000</v>
      </c>
      <c r="D23" s="7" t="s">
        <v>16</v>
      </c>
      <c r="E23" s="7">
        <v>1</v>
      </c>
      <c r="F23" s="6">
        <f>C23*E23</f>
        <v>20000</v>
      </c>
    </row>
    <row r="24" spans="1:6" ht="26.4" x14ac:dyDescent="0.3">
      <c r="A24" s="4" t="s">
        <v>25</v>
      </c>
      <c r="B24" s="5" t="s">
        <v>27</v>
      </c>
      <c r="C24" s="6">
        <v>15000</v>
      </c>
      <c r="D24" s="7" t="s">
        <v>16</v>
      </c>
      <c r="E24" s="7">
        <v>1</v>
      </c>
      <c r="F24" s="6">
        <f>C24*E24</f>
        <v>15000</v>
      </c>
    </row>
    <row r="25" spans="1:6" x14ac:dyDescent="0.3">
      <c r="A25" s="8" t="s">
        <v>28</v>
      </c>
      <c r="B25" s="9"/>
      <c r="C25" s="9"/>
      <c r="D25" s="9"/>
      <c r="E25" s="9"/>
      <c r="F25" s="10">
        <f>SUM(F23:F24)</f>
        <v>35000</v>
      </c>
    </row>
    <row r="26" spans="1:6" x14ac:dyDescent="0.3">
      <c r="A26" s="11" t="s">
        <v>29</v>
      </c>
      <c r="B26" s="11"/>
      <c r="C26" s="11"/>
      <c r="D26" s="11"/>
      <c r="E26" s="11"/>
      <c r="F26" s="12">
        <f>F10+F15+F17+F22+F25</f>
        <v>723500</v>
      </c>
    </row>
    <row r="27" spans="1:6" x14ac:dyDescent="0.3">
      <c r="A27" s="13" t="s">
        <v>30</v>
      </c>
      <c r="B27" s="13"/>
      <c r="C27" s="13"/>
      <c r="D27" s="13"/>
      <c r="E27" s="13"/>
      <c r="F27" s="14">
        <v>0.1</v>
      </c>
    </row>
    <row r="28" spans="1:6" x14ac:dyDescent="0.3">
      <c r="A28" s="11" t="s">
        <v>31</v>
      </c>
      <c r="B28" s="11"/>
      <c r="C28" s="11"/>
      <c r="D28" s="11"/>
      <c r="E28" s="11"/>
      <c r="F28" s="12">
        <f>F26*F27</f>
        <v>72350</v>
      </c>
    </row>
    <row r="29" spans="1:6" x14ac:dyDescent="0.3">
      <c r="A29" s="15" t="s">
        <v>32</v>
      </c>
      <c r="B29" s="15"/>
      <c r="C29" s="15"/>
      <c r="D29" s="15"/>
      <c r="E29" s="15"/>
      <c r="F29" s="16">
        <f>F26+F28</f>
        <v>795850</v>
      </c>
    </row>
    <row r="31" spans="1:6" ht="15.6" x14ac:dyDescent="0.3">
      <c r="A31" s="1" t="s">
        <v>33</v>
      </c>
    </row>
    <row r="32" spans="1:6" x14ac:dyDescent="0.3">
      <c r="F32" s="17" t="s">
        <v>34</v>
      </c>
    </row>
    <row r="33" spans="1:6" x14ac:dyDescent="0.3">
      <c r="A33" s="18" t="s">
        <v>35</v>
      </c>
      <c r="B33" s="18"/>
      <c r="C33" s="18"/>
      <c r="D33" s="18"/>
      <c r="E33" s="18"/>
      <c r="F33" s="19">
        <v>1000000</v>
      </c>
    </row>
    <row r="34" spans="1:6" x14ac:dyDescent="0.3">
      <c r="A34" s="18" t="s">
        <v>36</v>
      </c>
      <c r="B34" s="18"/>
      <c r="C34" s="18"/>
      <c r="D34" s="18"/>
      <c r="E34" s="18"/>
      <c r="F34" s="19">
        <f>F29</f>
        <v>795850</v>
      </c>
    </row>
    <row r="35" spans="1:6" x14ac:dyDescent="0.3">
      <c r="A35" s="21" t="s">
        <v>37</v>
      </c>
      <c r="B35" s="21"/>
      <c r="C35" s="21"/>
      <c r="D35" s="21"/>
      <c r="E35" s="21"/>
      <c r="F35" s="22">
        <f>F33-F34</f>
        <v>204150</v>
      </c>
    </row>
    <row r="37" spans="1:6" ht="15.6" x14ac:dyDescent="0.3">
      <c r="A37" s="1" t="s">
        <v>38</v>
      </c>
    </row>
    <row r="38" spans="1:6" ht="15" customHeight="1" x14ac:dyDescent="0.3">
      <c r="A38" s="23" t="s">
        <v>48</v>
      </c>
      <c r="B38" s="23"/>
      <c r="C38" s="23"/>
      <c r="D38" s="23"/>
      <c r="E38" s="23"/>
      <c r="F38" s="23"/>
    </row>
    <row r="39" spans="1:6" x14ac:dyDescent="0.3">
      <c r="A39" s="23"/>
      <c r="B39" s="23"/>
      <c r="C39" s="23"/>
      <c r="D39" s="23"/>
      <c r="E39" s="23"/>
      <c r="F39" s="23"/>
    </row>
    <row r="40" spans="1:6" ht="15" customHeight="1" x14ac:dyDescent="0.3">
      <c r="A40" s="23" t="s">
        <v>39</v>
      </c>
      <c r="B40" s="23"/>
      <c r="C40" s="23"/>
      <c r="D40" s="23"/>
      <c r="E40" s="23"/>
      <c r="F40" s="23"/>
    </row>
    <row r="41" spans="1:6" x14ac:dyDescent="0.3">
      <c r="A41" s="23"/>
      <c r="B41" s="23"/>
      <c r="C41" s="23"/>
      <c r="D41" s="23"/>
      <c r="E41" s="23"/>
      <c r="F41" s="23"/>
    </row>
    <row r="42" spans="1:6" ht="15" customHeight="1" x14ac:dyDescent="0.3">
      <c r="A42" s="23"/>
      <c r="B42" s="23"/>
      <c r="C42" s="23"/>
      <c r="D42" s="23"/>
      <c r="E42" s="23"/>
      <c r="F42" s="23"/>
    </row>
    <row r="43" spans="1:6" x14ac:dyDescent="0.3">
      <c r="A43" s="23"/>
      <c r="B43" s="23"/>
      <c r="C43" s="23"/>
      <c r="D43" s="23"/>
      <c r="E43" s="23"/>
      <c r="F43" s="23"/>
    </row>
    <row r="44" spans="1:6" ht="15" customHeight="1" x14ac:dyDescent="0.3">
      <c r="A44" s="23"/>
      <c r="B44" s="23"/>
      <c r="C44" s="23"/>
      <c r="D44" s="23"/>
      <c r="E44" s="23"/>
      <c r="F44" s="23"/>
    </row>
    <row r="45" spans="1:6" x14ac:dyDescent="0.3">
      <c r="A45" s="23"/>
      <c r="B45" s="23"/>
      <c r="C45" s="23"/>
      <c r="D45" s="23"/>
      <c r="E45" s="23"/>
      <c r="F45" s="23"/>
    </row>
  </sheetData>
  <mergeCells count="7">
    <mergeCell ref="A42:F43"/>
    <mergeCell ref="A44:F45"/>
    <mergeCell ref="A1:F1"/>
    <mergeCell ref="A2:F2"/>
    <mergeCell ref="A3:F3"/>
    <mergeCell ref="A38:F39"/>
    <mergeCell ref="A40:F41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Budget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Rosely Chitaunhike</cp:lastModifiedBy>
  <cp:revision>0</cp:revision>
  <dcterms:created xsi:type="dcterms:W3CDTF">2026-08-14T11:09:52Z</dcterms:created>
  <dcterms:modified xsi:type="dcterms:W3CDTF">2026-08-15T19:09:41Z</dcterms:modified>
  <dc:language>en-US</dc:language>
</cp:coreProperties>
</file>