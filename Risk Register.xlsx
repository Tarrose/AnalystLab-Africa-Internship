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TROS004\Documents\Internships\AnalystLab Africa\Week 1\"/>
    </mc:Choice>
  </mc:AlternateContent>
  <xr:revisionPtr revIDLastSave="0" documentId="13_ncr:1_{41AAB814-6097-469F-A096-F6A5045A5C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isk Register" sheetId="1" r:id="rId1"/>
  </sheets>
  <definedNames>
    <definedName name="_xlnm.Print_Area" localSheetId="0">'Risk Register'!$A$1:$H$22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<sst xmlns="http://schemas.openxmlformats.org/spreadsheetml/2006/main" count="101" uniqueCount="68">
  <si>
    <t>AnalystLab Africa Consulting</t>
  </si>
  <si>
    <t>Level</t>
  </si>
  <si>
    <t>Score</t>
  </si>
  <si>
    <t>RISK REGISTER</t>
  </si>
  <si>
    <t>Low</t>
  </si>
  <si>
    <t>Medium</t>
  </si>
  <si>
    <t>High</t>
  </si>
  <si>
    <t>ID</t>
  </si>
  <si>
    <t>Risk Description</t>
  </si>
  <si>
    <t>Category</t>
  </si>
  <si>
    <t>Likelihood</t>
  </si>
  <si>
    <t>Impact</t>
  </si>
  <si>
    <t>Risk Score</t>
  </si>
  <si>
    <t>Mitigation Strategy</t>
  </si>
  <si>
    <t>Owner</t>
  </si>
  <si>
    <t>R1</t>
  </si>
  <si>
    <t>Data integration complexity across POS, e-commerce, and loyalty platforms delays project timeline</t>
  </si>
  <si>
    <t>Technical</t>
  </si>
  <si>
    <t>IT Lead</t>
  </si>
  <si>
    <t>R2</t>
  </si>
  <si>
    <t>Inconsistent or missing customer identifiers across systems reduce data matching accuracy</t>
  </si>
  <si>
    <t>Data Quality</t>
  </si>
  <si>
    <t>Define a common ID standard early; run data quality checks before model build begins</t>
  </si>
  <si>
    <t>Data Engineer</t>
  </si>
  <si>
    <t>R3</t>
  </si>
  <si>
    <t>Churn prediction model fails to reach the 75% accuracy target</t>
  </si>
  <si>
    <t>Use iterative testing cycles; adjust features/approach; set a realistic accuracy checkpoint before pilot</t>
  </si>
  <si>
    <t>Data Scientist</t>
  </si>
  <si>
    <t>R4</t>
  </si>
  <si>
    <t>Marketing and Customer Service teams under-adopt or ignore at-risk customer flags</t>
  </si>
  <si>
    <t>Organisational</t>
  </si>
  <si>
    <t>Involve teams in dashboard design; provide hands-on training; assign a champion in each team</t>
  </si>
  <si>
    <t>Project Manager</t>
  </si>
  <si>
    <t>R5</t>
  </si>
  <si>
    <t>Non-compliance with POPIA in handling customer data</t>
  </si>
  <si>
    <t>Compliance</t>
  </si>
  <si>
    <t>Compliance Officer sign-off required before data integration; build in a formal privacy review checkpoint</t>
  </si>
  <si>
    <t>Compliance Officer</t>
  </si>
  <si>
    <t>R6</t>
  </si>
  <si>
    <t>Legacy POS system has limited or no API access, blocking data extraction</t>
  </si>
  <si>
    <t>R7</t>
  </si>
  <si>
    <t>Financial</t>
  </si>
  <si>
    <t>Monthly budget tracking against plan; sponsor sign-off required for any scope changes</t>
  </si>
  <si>
    <t>R8</t>
  </si>
  <si>
    <t>Pilot retention campaign results are inconclusive due to small flagged-customer sample size</t>
  </si>
  <si>
    <t>Analytical</t>
  </si>
  <si>
    <t>Set a minimum sample size threshold before launch; extend pilot window if needed</t>
  </si>
  <si>
    <t>R9</t>
  </si>
  <si>
    <t>Key project team member (e.g., data engineer) becomes unavailable mid-project</t>
  </si>
  <si>
    <t>Resourcing</t>
  </si>
  <si>
    <t>Document data pipeline work as it's built; identify a backup resource early</t>
  </si>
  <si>
    <t>R10</t>
  </si>
  <si>
    <t>Scope</t>
  </si>
  <si>
    <t>Reinforce agreed scope in Charter; route new requests through formal change control</t>
  </si>
  <si>
    <t>Scope creep - client requests product analytics features mid-project</t>
  </si>
  <si>
    <t>Project: AI-Powered Customer Churn Prediction &amp; Retention System - Tarrose Retail</t>
  </si>
  <si>
    <t>Note: Risk Score = Likelihood score (1–3) × Impact score (1–3). Score ≥6 = High priority, 3–4 = Medium, ≤2 = Low.</t>
  </si>
  <si>
    <t>Conduct early data source audit (Phase 3.1); allocate buffer time; involve IT team from project start</t>
  </si>
  <si>
    <t>Assess POS access in Week 3 audit; have a manual export fallback plan ready</t>
  </si>
  <si>
    <t>Insufficient internal capacity at Tarrose Retail to sustain monitoring and retraining after handover</t>
  </si>
  <si>
    <t>R11</t>
  </si>
  <si>
    <t>R12</t>
  </si>
  <si>
    <t>Schedule pressure from the festive-season office closure falling within Weeks 19–20</t>
  </si>
  <si>
    <t>Operational/Handover</t>
  </si>
  <si>
    <t>Confirm internal team capacity with Tarrose Retail management in Weeks 1–2; onboard internal IT/Data team early (WBS 7.4); make Sponsor's full-rollout decision conditional on demonstrated readiness</t>
  </si>
  <si>
    <t>Sequence final handover and closure activities (WBS 7.4, 8.0) to complete key milestones before the closure window; confirm availability of key stakeholders for sign-off</t>
  </si>
  <si>
    <t>Project exceeds the approved R1 000 000 budget</t>
  </si>
  <si>
    <t>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</si>
</sst>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name val="Calibri"/>
      <charset val="1"/>
    </font>
    <font>
      <i/>
      <sz val="9"/>
      <name val="Calibri"/>
      <charset val="1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2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>
          <bgColor rgb="FFFF4747"/>
        </patternFill>
      </fill>
    </dxf>
    <dxf>
      <fill>
        <patternFill>
          <bgColor rgb="FFFFFF79"/>
        </patternFill>
      </fill>
    </dxf>
    <dxf>
      <fill>
        <patternFill>
          <bgColor theme="6" tint="0.59996337778862885"/>
        </patternFill>
      </fill>
    </dxf>
    <dxf>
      <fill>
        <patternFill>
          <bgColor rgb="FF65FFAB"/>
        </patternFill>
      </fill>
    </dxf>
    <dxf>
      <fill>
        <patternFill>
          <bgColor rgb="FFFF8181"/>
        </patternFill>
      </fill>
    </dxf>
    <dxf>
      <fill>
        <patternFill>
          <bgColor rgb="FF29FF8A"/>
        </patternFill>
      </fill>
    </dxf>
    <dxf>
      <fill>
        <patternFill>
          <bgColor rgb="FFFFFF7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79"/>
      <color rgb="FF29FF8A"/>
      <color rgb="FFFF8181"/>
      <color rgb="FF65FFAB"/>
      <color rgb="FFFF4747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Table" displayName="RiskTable" ref="A6:H18" totalsRowShown="0" headerRowDxfId="16" dataDxfId="15">
  <autoFilter ref="A6:H18" xr:uid="{00000000-0009-0000-0100-000001000000}"/>
  <tableColumns count="8">
    <tableColumn id="1" xr3:uid="{00000000-0010-0000-0000-000001000000}" name="ID" dataDxfId="14"/>
    <tableColumn id="2" xr3:uid="{00000000-0010-0000-0000-000002000000}" name="Risk Description" dataDxfId="13"/>
    <tableColumn id="3" xr3:uid="{00000000-0010-0000-0000-000003000000}" name="Category" dataDxfId="12"/>
    <tableColumn id="4" xr3:uid="{00000000-0010-0000-0000-000004000000}" name="Likelihood" dataDxfId="11"/>
    <tableColumn id="5" xr3:uid="{00000000-0010-0000-0000-000005000000}" name="Impact" dataDxfId="10"/>
    <tableColumn id="6" xr3:uid="{00000000-0010-0000-0000-000006000000}" name="Risk Score" dataDxfId="9"/>
    <tableColumn id="7" xr3:uid="{00000000-0010-0000-0000-000007000000}" name="Mitigation Strategy" dataDxfId="8"/>
    <tableColumn id="8" xr3:uid="{00000000-0010-0000-0000-000008000000}" name="Owner" dataDxfId="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zoomScaleNormal="100" workbookViewId="0">
      <pane ySplit="6" topLeftCell="A14" activePane="bottomLeft" state="frozen"/>
      <selection pane="bottomLeft" activeCell="C18" sqref="C18"/>
    </sheetView>
  </sheetViews>
  <sheetFormatPr defaultColWidth="8.6640625" defaultRowHeight="14.4" x14ac:dyDescent="0.3"/>
  <cols>
    <col min="1" max="1" width="6" customWidth="1"/>
    <col min="2" max="2" width="40" customWidth="1"/>
    <col min="3" max="3" width="14" customWidth="1"/>
    <col min="4" max="4" width="12" customWidth="1"/>
    <col min="5" max="5" width="10" customWidth="1"/>
    <col min="6" max="6" width="11" customWidth="1"/>
    <col min="7" max="7" width="48" customWidth="1"/>
    <col min="8" max="8" width="18" customWidth="1"/>
    <col min="11" max="12" width="13" hidden="1" customWidth="1"/>
  </cols>
  <sheetData>
    <row r="1" spans="1:12" ht="17.399999999999999" x14ac:dyDescent="0.3">
      <c r="A1" s="7" t="s">
        <v>0</v>
      </c>
      <c r="B1" s="7"/>
      <c r="C1" s="7"/>
      <c r="D1" s="7"/>
      <c r="E1" s="7"/>
      <c r="F1" s="7"/>
      <c r="G1" s="7"/>
      <c r="H1" s="7"/>
      <c r="K1" t="s">
        <v>1</v>
      </c>
      <c r="L1" t="s">
        <v>2</v>
      </c>
    </row>
    <row r="2" spans="1:12" ht="15.6" x14ac:dyDescent="0.3">
      <c r="A2" s="8" t="s">
        <v>3</v>
      </c>
      <c r="B2" s="8"/>
      <c r="C2" s="8"/>
      <c r="D2" s="8"/>
      <c r="E2" s="8"/>
      <c r="F2" s="8"/>
      <c r="G2" s="8"/>
      <c r="H2" s="8"/>
      <c r="K2" t="s">
        <v>4</v>
      </c>
      <c r="L2">
        <v>1</v>
      </c>
    </row>
    <row r="3" spans="1:12" x14ac:dyDescent="0.3">
      <c r="A3" s="9" t="s">
        <v>55</v>
      </c>
      <c r="B3" s="10"/>
      <c r="C3" s="10"/>
      <c r="D3" s="10"/>
      <c r="E3" s="10"/>
      <c r="F3" s="10"/>
      <c r="G3" s="10"/>
      <c r="H3" s="10"/>
      <c r="K3" t="s">
        <v>5</v>
      </c>
      <c r="L3">
        <v>2</v>
      </c>
    </row>
    <row r="4" spans="1:12" x14ac:dyDescent="0.3">
      <c r="A4" s="6"/>
      <c r="B4" s="9"/>
      <c r="C4" s="10"/>
      <c r="D4" s="10"/>
      <c r="E4" s="10"/>
      <c r="F4" s="10"/>
      <c r="G4" s="10"/>
      <c r="H4" s="10"/>
    </row>
    <row r="5" spans="1:12" x14ac:dyDescent="0.3">
      <c r="A5" s="2"/>
      <c r="B5" s="2"/>
      <c r="C5" s="2"/>
      <c r="D5" s="2"/>
      <c r="E5" s="2"/>
      <c r="F5" s="2"/>
      <c r="G5" s="2"/>
      <c r="H5" s="2"/>
      <c r="K5" t="s">
        <v>6</v>
      </c>
      <c r="L5">
        <v>3</v>
      </c>
    </row>
    <row r="6" spans="1:12" x14ac:dyDescent="0.3">
      <c r="A6" s="3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</row>
    <row r="7" spans="1:12" ht="42" x14ac:dyDescent="0.3">
      <c r="A7" s="3" t="s">
        <v>15</v>
      </c>
      <c r="B7" s="4" t="s">
        <v>16</v>
      </c>
      <c r="C7" s="4" t="s">
        <v>17</v>
      </c>
      <c r="D7" s="4" t="s">
        <v>6</v>
      </c>
      <c r="E7" s="4" t="s">
        <v>6</v>
      </c>
      <c r="F7" s="4">
        <f t="shared" ref="F7:F16" si="0">INDEX($L$2:$L$5,MATCH(D7,$K$2:$K$5,0))*INDEX($L$2:$L$5,MATCH(E7,$K$2:$K$5,0))</f>
        <v>9</v>
      </c>
      <c r="G7" s="4" t="s">
        <v>57</v>
      </c>
      <c r="H7" s="4" t="s">
        <v>18</v>
      </c>
    </row>
    <row r="8" spans="1:12" ht="42" x14ac:dyDescent="0.3">
      <c r="A8" s="3" t="s">
        <v>19</v>
      </c>
      <c r="B8" s="4" t="s">
        <v>20</v>
      </c>
      <c r="C8" s="4" t="s">
        <v>21</v>
      </c>
      <c r="D8" s="4" t="s">
        <v>6</v>
      </c>
      <c r="E8" s="4" t="s">
        <v>6</v>
      </c>
      <c r="F8" s="4">
        <f t="shared" si="0"/>
        <v>9</v>
      </c>
      <c r="G8" s="4" t="s">
        <v>22</v>
      </c>
      <c r="H8" s="4" t="s">
        <v>23</v>
      </c>
    </row>
    <row r="9" spans="1:12" ht="42" x14ac:dyDescent="0.3">
      <c r="A9" s="3" t="s">
        <v>24</v>
      </c>
      <c r="B9" s="4" t="s">
        <v>25</v>
      </c>
      <c r="C9" s="4" t="s">
        <v>17</v>
      </c>
      <c r="D9" s="4" t="s">
        <v>5</v>
      </c>
      <c r="E9" s="4" t="s">
        <v>6</v>
      </c>
      <c r="F9" s="4">
        <f t="shared" si="0"/>
        <v>6</v>
      </c>
      <c r="G9" s="4" t="s">
        <v>26</v>
      </c>
      <c r="H9" s="4" t="s">
        <v>27</v>
      </c>
    </row>
    <row r="10" spans="1:12" ht="42" x14ac:dyDescent="0.3">
      <c r="A10" s="3" t="s">
        <v>28</v>
      </c>
      <c r="B10" s="4" t="s">
        <v>29</v>
      </c>
      <c r="C10" s="4" t="s">
        <v>30</v>
      </c>
      <c r="D10" s="4" t="s">
        <v>5</v>
      </c>
      <c r="E10" s="4" t="s">
        <v>6</v>
      </c>
      <c r="F10" s="4">
        <f t="shared" si="0"/>
        <v>6</v>
      </c>
      <c r="G10" s="4" t="s">
        <v>31</v>
      </c>
      <c r="H10" s="4" t="s">
        <v>32</v>
      </c>
    </row>
    <row r="11" spans="1:12" ht="42" x14ac:dyDescent="0.3">
      <c r="A11" s="3" t="s">
        <v>33</v>
      </c>
      <c r="B11" s="4" t="s">
        <v>34</v>
      </c>
      <c r="C11" s="4" t="s">
        <v>35</v>
      </c>
      <c r="D11" s="4" t="s">
        <v>4</v>
      </c>
      <c r="E11" s="4" t="s">
        <v>6</v>
      </c>
      <c r="F11" s="4">
        <f t="shared" si="0"/>
        <v>3</v>
      </c>
      <c r="G11" s="4" t="s">
        <v>36</v>
      </c>
      <c r="H11" s="4" t="s">
        <v>37</v>
      </c>
    </row>
    <row r="12" spans="1:12" ht="28.2" x14ac:dyDescent="0.3">
      <c r="A12" s="3" t="s">
        <v>38</v>
      </c>
      <c r="B12" s="4" t="s">
        <v>39</v>
      </c>
      <c r="C12" s="4" t="s">
        <v>17</v>
      </c>
      <c r="D12" s="4" t="s">
        <v>5</v>
      </c>
      <c r="E12" s="4" t="s">
        <v>6</v>
      </c>
      <c r="F12" s="4">
        <f t="shared" si="0"/>
        <v>6</v>
      </c>
      <c r="G12" s="4" t="s">
        <v>58</v>
      </c>
      <c r="H12" s="4" t="s">
        <v>18</v>
      </c>
    </row>
    <row r="13" spans="1:12" ht="28.2" x14ac:dyDescent="0.3">
      <c r="A13" s="3" t="s">
        <v>40</v>
      </c>
      <c r="B13" s="4" t="s">
        <v>66</v>
      </c>
      <c r="C13" s="4" t="s">
        <v>41</v>
      </c>
      <c r="D13" s="4" t="s">
        <v>5</v>
      </c>
      <c r="E13" s="4" t="s">
        <v>5</v>
      </c>
      <c r="F13" s="4">
        <f t="shared" si="0"/>
        <v>4</v>
      </c>
      <c r="G13" s="4" t="s">
        <v>42</v>
      </c>
      <c r="H13" s="4" t="s">
        <v>32</v>
      </c>
    </row>
    <row r="14" spans="1:12" ht="42" x14ac:dyDescent="0.3">
      <c r="A14" s="3" t="s">
        <v>43</v>
      </c>
      <c r="B14" s="4" t="s">
        <v>44</v>
      </c>
      <c r="C14" s="4" t="s">
        <v>45</v>
      </c>
      <c r="D14" s="4" t="s">
        <v>5</v>
      </c>
      <c r="E14" s="4" t="s">
        <v>5</v>
      </c>
      <c r="F14" s="4">
        <f t="shared" si="0"/>
        <v>4</v>
      </c>
      <c r="G14" s="4" t="s">
        <v>46</v>
      </c>
      <c r="H14" s="4" t="s">
        <v>27</v>
      </c>
    </row>
    <row r="15" spans="1:12" ht="28.2" x14ac:dyDescent="0.3">
      <c r="A15" s="3" t="s">
        <v>47</v>
      </c>
      <c r="B15" s="4" t="s">
        <v>48</v>
      </c>
      <c r="C15" s="4" t="s">
        <v>49</v>
      </c>
      <c r="D15" s="4" t="s">
        <v>4</v>
      </c>
      <c r="E15" s="4" t="s">
        <v>5</v>
      </c>
      <c r="F15" s="4">
        <f t="shared" si="0"/>
        <v>2</v>
      </c>
      <c r="G15" s="4" t="s">
        <v>50</v>
      </c>
      <c r="H15" s="4" t="s">
        <v>32</v>
      </c>
    </row>
    <row r="16" spans="1:12" ht="28.2" x14ac:dyDescent="0.3">
      <c r="A16" s="3" t="s">
        <v>51</v>
      </c>
      <c r="B16" s="4" t="s">
        <v>54</v>
      </c>
      <c r="C16" s="4" t="s">
        <v>52</v>
      </c>
      <c r="D16" s="4" t="s">
        <v>5</v>
      </c>
      <c r="E16" s="4" t="s">
        <v>5</v>
      </c>
      <c r="F16" s="4">
        <f t="shared" si="0"/>
        <v>4</v>
      </c>
      <c r="G16" s="4" t="s">
        <v>53</v>
      </c>
      <c r="H16" s="4" t="s">
        <v>32</v>
      </c>
    </row>
    <row r="17" spans="1:9" ht="69.599999999999994" x14ac:dyDescent="0.3">
      <c r="A17" s="3" t="s">
        <v>60</v>
      </c>
      <c r="B17" s="4" t="s">
        <v>59</v>
      </c>
      <c r="C17" s="4" t="s">
        <v>63</v>
      </c>
      <c r="D17" s="4" t="s">
        <v>5</v>
      </c>
      <c r="E17" s="4" t="s">
        <v>6</v>
      </c>
      <c r="F17" s="4">
        <v>6</v>
      </c>
      <c r="G17" s="4" t="s">
        <v>64</v>
      </c>
      <c r="H17" s="4" t="s">
        <v>32</v>
      </c>
    </row>
    <row r="18" spans="1:9" ht="55.8" x14ac:dyDescent="0.3">
      <c r="A18" s="3" t="s">
        <v>61</v>
      </c>
      <c r="B18" s="4" t="s">
        <v>62</v>
      </c>
      <c r="C18" s="4" t="s">
        <v>67</v>
      </c>
      <c r="D18" s="4" t="s">
        <v>5</v>
      </c>
      <c r="E18" s="4" t="s">
        <v>5</v>
      </c>
      <c r="F18" s="4">
        <v>4</v>
      </c>
      <c r="G18" s="4" t="s">
        <v>65</v>
      </c>
      <c r="H18" s="4" t="s">
        <v>32</v>
      </c>
      <c r="I18" s="5"/>
    </row>
    <row r="20" spans="1:9" x14ac:dyDescent="0.3">
      <c r="B20" s="5" t="s">
        <v>56</v>
      </c>
      <c r="C20" s="5"/>
      <c r="D20" s="5"/>
      <c r="E20" s="5"/>
      <c r="F20" s="5"/>
      <c r="G20" s="5"/>
      <c r="H20" s="5"/>
    </row>
    <row r="21" spans="1:9" x14ac:dyDescent="0.3">
      <c r="A21" s="1"/>
    </row>
  </sheetData>
  <mergeCells count="4">
    <mergeCell ref="A1:H1"/>
    <mergeCell ref="A2:H2"/>
    <mergeCell ref="A3:H3"/>
    <mergeCell ref="B4:H4"/>
  </mergeCells>
  <phoneticPr fontId="7" type="noConversion"/>
  <conditionalFormatting sqref="D6:E18">
    <cfRule type="containsText" dxfId="6" priority="1" operator="containsText" text="Medium">
      <formula>NOT(ISERROR(SEARCH("Medium",D6)))</formula>
    </cfRule>
    <cfRule type="containsText" dxfId="5" priority="2" operator="containsText" text="Medium">
      <formula>NOT(ISERROR(SEARCH("Medium",D6)))</formula>
    </cfRule>
    <cfRule type="containsText" dxfId="4" priority="3" operator="containsText" text="High">
      <formula>NOT(ISERROR(SEARCH("High",D6)))</formula>
    </cfRule>
    <cfRule type="containsText" dxfId="3" priority="4" operator="containsText" text="Low">
      <formula>NOT(ISERROR(SEARCH("Low",D6)))</formula>
    </cfRule>
    <cfRule type="containsText" dxfId="2" priority="5" operator="containsText" text="Low">
      <formula>NOT(ISERROR(SEARCH("Low",D6)))</formula>
    </cfRule>
    <cfRule type="containsText" dxfId="1" priority="6" operator="containsText" text="Medium">
      <formula>NOT(ISERROR(SEARCH("Medium",D6)))</formula>
    </cfRule>
    <cfRule type="containsText" dxfId="0" priority="7" operator="containsText" text="High">
      <formula>NOT(ISERROR(SEARCH("High",D6)))</formula>
    </cfRule>
  </conditionalFormatting>
  <pageMargins left="0.75" right="0.75" top="1" bottom="1" header="0.511811023622047" footer="0.511811023622047"/>
  <pageSetup fitToHeight="0" orientation="landscape" horizontalDpi="300" verticalDpi="300"/>
  <ignoredErrors>
    <ignoredError sqref="A7:A17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 Register</vt:lpstr>
      <vt:lpstr>'Risk Register'!Print_Area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Rosely Chitaunhike</cp:lastModifiedBy>
  <cp:revision>0</cp:revision>
  <dcterms:created xsi:type="dcterms:W3CDTF">2026-08-08T18:04:33Z</dcterms:created>
  <dcterms:modified xsi:type="dcterms:W3CDTF">2026-08-14T18:48:03Z</dcterms:modified>
  <dc:language>en-US</dc:language>
</cp:coreProperties>
</file>