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B290BADB-71A6-44F3-B0FF-5EEB0D56FE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 Schedule" sheetId="1" r:id="rId1"/>
    <sheet name="Gantt Char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4" i="1" l="1"/>
  <c r="C53" i="1"/>
  <c r="C52" i="1"/>
  <c r="C51" i="1"/>
  <c r="E50" i="1"/>
  <c r="D50" i="1"/>
  <c r="C50" i="1"/>
  <c r="C49" i="1"/>
  <c r="C48" i="1"/>
  <c r="C47" i="1"/>
  <c r="C46" i="1"/>
  <c r="E45" i="1"/>
  <c r="D45" i="1"/>
  <c r="C45" i="1" s="1"/>
  <c r="C44" i="1"/>
  <c r="C43" i="1"/>
  <c r="C42" i="1"/>
  <c r="C41" i="1"/>
  <c r="C40" i="1"/>
  <c r="E39" i="1"/>
  <c r="D39" i="1"/>
  <c r="C39" i="1" s="1"/>
  <c r="C38" i="1"/>
  <c r="C37" i="1"/>
  <c r="C36" i="1"/>
  <c r="C35" i="1"/>
  <c r="C34" i="1"/>
  <c r="E33" i="1"/>
  <c r="D33" i="1"/>
  <c r="C33" i="1"/>
  <c r="C32" i="1"/>
  <c r="C31" i="1"/>
  <c r="C30" i="1"/>
  <c r="C29" i="1"/>
  <c r="C28" i="1"/>
  <c r="C27" i="1"/>
  <c r="E26" i="1"/>
  <c r="D26" i="1"/>
  <c r="C25" i="1"/>
  <c r="C24" i="1"/>
  <c r="C23" i="1"/>
  <c r="C22" i="1"/>
  <c r="C21" i="1"/>
  <c r="C20" i="1"/>
  <c r="E19" i="1"/>
  <c r="D19" i="1"/>
  <c r="C19" i="1" s="1"/>
  <c r="C18" i="1"/>
  <c r="C17" i="1"/>
  <c r="C16" i="1"/>
  <c r="C15" i="1"/>
  <c r="C14" i="1"/>
  <c r="C13" i="1"/>
  <c r="E12" i="1"/>
  <c r="D12" i="1"/>
  <c r="C11" i="1"/>
  <c r="C10" i="1"/>
  <c r="C9" i="1"/>
  <c r="C8" i="1"/>
  <c r="E7" i="1"/>
  <c r="D7" i="1"/>
  <c r="C7" i="1"/>
  <c r="C26" i="1" l="1"/>
  <c r="D56" i="1"/>
  <c r="D57" i="1"/>
  <c r="D58" i="1" s="1"/>
  <c r="C12" i="1"/>
</calcChain>
</file>

<file path=xl/sharedStrings.xml><?xml version="1.0" encoding="utf-8"?>
<sst xmlns="http://schemas.openxmlformats.org/spreadsheetml/2006/main" count="214" uniqueCount="163">
  <si>
    <t>AnalystLab Africa Consulting</t>
  </si>
  <si>
    <t>Project Schedule</t>
  </si>
  <si>
    <t>Activity ID</t>
  </si>
  <si>
    <t>Activity Name</t>
  </si>
  <si>
    <t>Duration
(Working Days)</t>
  </si>
  <si>
    <t>Start Date</t>
  </si>
  <si>
    <t>Finish Date</t>
  </si>
  <si>
    <t>Dependencies
(Predecessor)</t>
  </si>
  <si>
    <t>Assigned Resource</t>
  </si>
  <si>
    <t>1.0</t>
  </si>
  <si>
    <t>Approved Project Foundation</t>
  </si>
  <si>
    <t>—</t>
  </si>
  <si>
    <t>Project Manager</t>
  </si>
  <si>
    <t>1.1</t>
  </si>
  <si>
    <t>Project Charter</t>
  </si>
  <si>
    <t>Start</t>
  </si>
  <si>
    <t>1.2</t>
  </si>
  <si>
    <t>Business Case</t>
  </si>
  <si>
    <t>1.1 (SS)</t>
  </si>
  <si>
    <t>1.3</t>
  </si>
  <si>
    <t>Stakeholder Requirements</t>
  </si>
  <si>
    <t>1.2 (FS)</t>
  </si>
  <si>
    <t>1.4</t>
  </si>
  <si>
    <t>Project Objectives</t>
  </si>
  <si>
    <t>1.3 (FS)</t>
  </si>
  <si>
    <t>2.0</t>
  </si>
  <si>
    <t>Approved Project Plan</t>
  </si>
  <si>
    <t>2.1</t>
  </si>
  <si>
    <t>Scope Baseline</t>
  </si>
  <si>
    <t>2.2</t>
  </si>
  <si>
    <t>2.1 (FS)</t>
  </si>
  <si>
    <t>2.3</t>
  </si>
  <si>
    <t>Resource Plan</t>
  </si>
  <si>
    <t>2.2 (SS)</t>
  </si>
  <si>
    <t>2.4</t>
  </si>
  <si>
    <t>Risk Plan</t>
  </si>
  <si>
    <t>2.2 (FS)</t>
  </si>
  <si>
    <t>2.5</t>
  </si>
  <si>
    <t>Communication Plan</t>
  </si>
  <si>
    <t>2.3 (FS)</t>
  </si>
  <si>
    <t>2.6</t>
  </si>
  <si>
    <t>Data Governance Plan</t>
  </si>
  <si>
    <t>2.5 (SS)</t>
  </si>
  <si>
    <t>Compliance Officer</t>
  </si>
  <si>
    <t>3.0</t>
  </si>
  <si>
    <t>Integrated Customer Data</t>
  </si>
  <si>
    <t>Data Engineer</t>
  </si>
  <si>
    <t>3.1</t>
  </si>
  <si>
    <t>POS Data Assessment</t>
  </si>
  <si>
    <t>2.0 (FS)</t>
  </si>
  <si>
    <t>3.2</t>
  </si>
  <si>
    <t>E-commerce Data Assessment</t>
  </si>
  <si>
    <t>3.1 (FS)</t>
  </si>
  <si>
    <t>3.3</t>
  </si>
  <si>
    <t>Loyalty Data Assessment</t>
  </si>
  <si>
    <t>3.2 (FS)</t>
  </si>
  <si>
    <t>3.4</t>
  </si>
  <si>
    <t>Customer Identity Resolution</t>
  </si>
  <si>
    <t>3.3 (FS)</t>
  </si>
  <si>
    <t>3.5</t>
  </si>
  <si>
    <t>Data Integration Pipeline</t>
  </si>
  <si>
    <t>3.4 (FS)</t>
  </si>
  <si>
    <t>3.6</t>
  </si>
  <si>
    <t>Data Quality Validation</t>
  </si>
  <si>
    <t>3.5 (SS+3d)</t>
  </si>
  <si>
    <t>4.0</t>
  </si>
  <si>
    <t>Churn Prediction Solution</t>
  </si>
  <si>
    <t>Data Scientist</t>
  </si>
  <si>
    <t>4.1</t>
  </si>
  <si>
    <t>Churn Definition</t>
  </si>
  <si>
    <t>3.0 (FS)</t>
  </si>
  <si>
    <t>4.2</t>
  </si>
  <si>
    <t>Feature Engineering</t>
  </si>
  <si>
    <t>4.1 (FS)</t>
  </si>
  <si>
    <t>4.3</t>
  </si>
  <si>
    <t>Model Development</t>
  </si>
  <si>
    <t>4.2 (FS)</t>
  </si>
  <si>
    <t>4.4</t>
  </si>
  <si>
    <t>Model Validation</t>
  </si>
  <si>
    <t>4.3 (FS)</t>
  </si>
  <si>
    <t>4.5</t>
  </si>
  <si>
    <t>Model Explainability</t>
  </si>
  <si>
    <t>4.4 (SS+lag)</t>
  </si>
  <si>
    <t>4.6</t>
  </si>
  <si>
    <t>Model Approval</t>
  </si>
  <si>
    <t>4.4, 4.5 (FS)</t>
  </si>
  <si>
    <t>Sponsor (Head of Marketing &amp; CX)</t>
  </si>
  <si>
    <t>5.0</t>
  </si>
  <si>
    <t>Customer Intelligence Dashboard</t>
  </si>
  <si>
    <t>IT Lead</t>
  </si>
  <si>
    <t>5.1</t>
  </si>
  <si>
    <t>Dashboard Requirements</t>
  </si>
  <si>
    <t>4.2 (FS+lag)</t>
  </si>
  <si>
    <t>5.2</t>
  </si>
  <si>
    <t>Dashboard Design</t>
  </si>
  <si>
    <t>5.1 (FS)</t>
  </si>
  <si>
    <t>5.3</t>
  </si>
  <si>
    <t>Dashboard Development</t>
  </si>
  <si>
    <t>5.2 (FS)</t>
  </si>
  <si>
    <t>5.4</t>
  </si>
  <si>
    <t>User Acceptance Testing</t>
  </si>
  <si>
    <t>5.3 (SS+lag)</t>
  </si>
  <si>
    <t>Marketing &amp; Customer Service Team</t>
  </si>
  <si>
    <t>5.5</t>
  </si>
  <si>
    <t>User Training</t>
  </si>
  <si>
    <t>5.4 (FS)</t>
  </si>
  <si>
    <t>6.0</t>
  </si>
  <si>
    <t>Retention Pilot</t>
  </si>
  <si>
    <t>6.1</t>
  </si>
  <si>
    <t>Customer Segmentation</t>
  </si>
  <si>
    <t>6.2</t>
  </si>
  <si>
    <t>Retention Intervention Design</t>
  </si>
  <si>
    <t>6.1 (FS+lag)</t>
  </si>
  <si>
    <t>6.3</t>
  </si>
  <si>
    <t>Control Group</t>
  </si>
  <si>
    <t>6.2 (FS+lag)</t>
  </si>
  <si>
    <t>6.4</t>
  </si>
  <si>
    <t>Pilot Launch</t>
  </si>
  <si>
    <t>6.3 (FS+lag)</t>
  </si>
  <si>
    <t>6.5</t>
  </si>
  <si>
    <t>Pilot Evaluation</t>
  </si>
  <si>
    <t>6.4 (FS+lag)</t>
  </si>
  <si>
    <t>7.0</t>
  </si>
  <si>
    <t>Operationalised Solution</t>
  </si>
  <si>
    <t>7.1</t>
  </si>
  <si>
    <t>Production Deployment</t>
  </si>
  <si>
    <t>4.6 (FS+lag)</t>
  </si>
  <si>
    <t>7.2</t>
  </si>
  <si>
    <t>Monitoring Process</t>
  </si>
  <si>
    <t>7.1 (SS+lag)</t>
  </si>
  <si>
    <t>7.3</t>
  </si>
  <si>
    <t>Retraining Process</t>
  </si>
  <si>
    <t>7.2 (FS)</t>
  </si>
  <si>
    <t>7.4</t>
  </si>
  <si>
    <t>Operational Handover</t>
  </si>
  <si>
    <t>7.3, 6.5 (FS+lag)</t>
  </si>
  <si>
    <t>Tarrose Retail Internal IT/Data Team</t>
  </si>
  <si>
    <t>8.0</t>
  </si>
  <si>
    <t>Project Closure</t>
  </si>
  <si>
    <t>8.1</t>
  </si>
  <si>
    <t>Final Evaluation</t>
  </si>
  <si>
    <t>7.4 (SS+lag)</t>
  </si>
  <si>
    <t>8.2</t>
  </si>
  <si>
    <t>Lessons Learned</t>
  </si>
  <si>
    <t>8.1 (FS+lag)</t>
  </si>
  <si>
    <t>8.3</t>
  </si>
  <si>
    <t>Final Documentation</t>
  </si>
  <si>
    <t>8.2 (FS)</t>
  </si>
  <si>
    <t>8.4</t>
  </si>
  <si>
    <t>Sign-off</t>
  </si>
  <si>
    <t>8.3 (FS)</t>
  </si>
  <si>
    <t>Project Start</t>
  </si>
  <si>
    <t>Project Finish</t>
  </si>
  <si>
    <t>Total Calendar Duration (Weeks)</t>
  </si>
  <si>
    <t>Legend</t>
  </si>
  <si>
    <t>• FS = Finish-to-Start (successor starts after predecessor finishes)</t>
  </si>
  <si>
    <t>• SS = Start-to-Start (successor starts alongside predecessor)</t>
  </si>
  <si>
    <t>• +Nd / +lag = successor start is offset from the predecessor by a gap (e.g. weekend, buffer, or observation window)</t>
  </si>
  <si>
    <t>• Shaded rows (x.0) are phase summary rows — Start/Finish/Duration roll up automatically from their child activities (Duration = NETWORKDAYS, Mon–Fri)</t>
  </si>
  <si>
    <t>• Dates and dependencies are carried forward from the approved Week 1 Work Breakdown Structure (09 Aug 2026 baseline)</t>
  </si>
  <si>
    <t>Gantt Chart — AI-Powered Customer Churn Prediction &amp; Retention System</t>
  </si>
  <si>
    <t>Red bars = Critical Path (0 days float). Orange = Near-Critical (1-5 days float). Gold diamonds = milestones. See 'Project Schedule' tab for activity data and 'Critical Path Analysis' for float detail.</t>
  </si>
  <si>
    <t>Project: AI-Powered Customer Churn Prediction &amp; Retention System : Tarrose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</si>
</sst>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1F3864"/>
      <name val="Arial"/>
      <charset val="1"/>
    </font>
    <font>
      <b/>
      <sz val="14"/>
      <color rgb="FF1F3864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333399"/>
      </patternFill>
    </fill>
    <fill>
      <patternFill patternType="solid">
        <fgColor rgb="FF92D050"/>
        <bgColor rgb="FF99CCFF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5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15" fontId="12" fillId="0" borderId="1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 wrapText="1"/>
    </xf>
    <xf numFmtId="0" fontId="12" fillId="0" borderId="8" xfId="0" applyFont="1" applyBorder="1" applyAlignment="1">
      <alignment vertical="center"/>
    </xf>
    <xf numFmtId="15" fontId="12" fillId="0" borderId="8" xfId="0" applyNumberFormat="1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/>
    </xf>
    <xf numFmtId="15" fontId="11" fillId="3" borderId="1" xfId="0" applyNumberFormat="1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9" fillId="0" borderId="0" xfId="0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rgb="FF33339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0" formatCode="dd\-mmm\-yy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0" formatCode="dd\-mmm\-yy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160920</xdr:rowOff>
    </xdr:from>
    <xdr:to>
      <xdr:col>21</xdr:col>
      <xdr:colOff>493200</xdr:colOff>
      <xdr:row>52</xdr:row>
      <xdr:rowOff>160200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62120"/>
          <a:ext cx="13334760" cy="93340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9AC4B-D76F-4F22-821E-625B988CA1B8}" name="Table1" displayName="Table1" ref="A6:G54" totalsRowShown="0" headerRowDxfId="0" headerRowBorderDxfId="9" tableBorderDxfId="10" totalsRowBorderDxfId="8">
  <autoFilter ref="A6:G54" xr:uid="{62E9AC4B-D76F-4F22-821E-625B988CA1B8}"/>
  <tableColumns count="7">
    <tableColumn id="1" xr3:uid="{B6D73BB8-22FA-4E29-AFEA-996789D015CC}" name="Activity ID" dataDxfId="7"/>
    <tableColumn id="2" xr3:uid="{65015EBD-5514-4FB3-A4D6-A47294E32C1A}" name="Activity Name" dataDxfId="6"/>
    <tableColumn id="3" xr3:uid="{0FD0B412-9B5F-42EA-9034-CDA9A5FE5805}" name="Duration_x000a_(Working Days)" dataDxfId="5">
      <calculatedColumnFormula>NETWORKDAYS(D7,E7)</calculatedColumnFormula>
    </tableColumn>
    <tableColumn id="4" xr3:uid="{883BBE91-8A1B-4F1B-8DA5-C69D0823FEAD}" name="Start Date" dataDxfId="4"/>
    <tableColumn id="5" xr3:uid="{37F68803-58FF-48C6-8FB7-2843275F7219}" name="Finish Date" dataDxfId="3"/>
    <tableColumn id="6" xr3:uid="{07CC2259-F525-46BF-813F-5D0484447D23}" name="Dependencies_x000a_(Predecessor)" dataDxfId="2"/>
    <tableColumn id="7" xr3:uid="{CE0A62D1-CD08-4000-9DAF-ADC5B0E5F837}" name="Assigned Resourc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zoomScaleNormal="100" workbookViewId="0">
      <pane ySplit="6" topLeftCell="A7" activePane="bottomLeft" state="frozen"/>
      <selection pane="bottomLeft" activeCell="B8" sqref="B8"/>
    </sheetView>
  </sheetViews>
  <sheetFormatPr defaultColWidth="8.6640625" defaultRowHeight="14.4" x14ac:dyDescent="0.3"/>
  <cols>
    <col min="1" max="1" width="12" customWidth="1"/>
    <col min="2" max="2" width="32" customWidth="1"/>
    <col min="3" max="3" width="19.21875" bestFit="1" customWidth="1"/>
    <col min="4" max="5" width="13" customWidth="1"/>
    <col min="6" max="6" width="20" customWidth="1"/>
    <col min="7" max="7" width="33.33203125" bestFit="1" customWidth="1"/>
  </cols>
  <sheetData>
    <row r="1" spans="1:7" ht="15" customHeight="1" x14ac:dyDescent="0.3">
      <c r="A1" s="8" t="s">
        <v>0</v>
      </c>
      <c r="B1" s="8"/>
      <c r="C1" s="8"/>
      <c r="D1" s="8"/>
      <c r="E1" s="8"/>
      <c r="F1" s="8"/>
      <c r="G1" s="8"/>
    </row>
    <row r="2" spans="1:7" ht="17.25" customHeight="1" x14ac:dyDescent="0.3">
      <c r="A2" s="9" t="s">
        <v>1</v>
      </c>
      <c r="B2" s="9"/>
      <c r="C2" s="9"/>
      <c r="D2" s="9"/>
      <c r="E2" s="9"/>
      <c r="F2" s="9"/>
      <c r="G2" s="9"/>
    </row>
    <row r="3" spans="1:7" ht="15" customHeight="1" x14ac:dyDescent="0.3">
      <c r="A3" s="10" t="s">
        <v>162</v>
      </c>
      <c r="B3" s="10"/>
      <c r="C3" s="10"/>
      <c r="D3" s="10"/>
      <c r="E3" s="10"/>
      <c r="F3" s="10"/>
      <c r="G3" s="10"/>
    </row>
    <row r="4" spans="1:7" ht="15" customHeight="1" x14ac:dyDescent="0.3">
      <c r="A4" s="11"/>
      <c r="B4" s="30"/>
      <c r="C4" s="30"/>
      <c r="D4" s="30"/>
      <c r="E4" s="30"/>
      <c r="F4" s="30"/>
      <c r="G4" s="30"/>
    </row>
    <row r="5" spans="1:7" x14ac:dyDescent="0.3">
      <c r="A5" s="30"/>
      <c r="B5" s="30"/>
      <c r="C5" s="30"/>
      <c r="D5" s="30"/>
      <c r="E5" s="30"/>
      <c r="F5" s="30"/>
      <c r="G5" s="30"/>
    </row>
    <row r="6" spans="1:7" ht="30" customHeight="1" x14ac:dyDescent="0.3">
      <c r="A6" s="17" t="s">
        <v>2</v>
      </c>
      <c r="B6" s="18" t="s">
        <v>3</v>
      </c>
      <c r="C6" s="18" t="s">
        <v>4</v>
      </c>
      <c r="D6" s="18" t="s">
        <v>5</v>
      </c>
      <c r="E6" s="18" t="s">
        <v>6</v>
      </c>
      <c r="F6" s="18" t="s">
        <v>7</v>
      </c>
      <c r="G6" s="19" t="s">
        <v>8</v>
      </c>
    </row>
    <row r="7" spans="1:7" ht="15" customHeight="1" x14ac:dyDescent="0.3">
      <c r="A7" s="25" t="s">
        <v>9</v>
      </c>
      <c r="B7" s="26" t="s">
        <v>10</v>
      </c>
      <c r="C7" s="27">
        <f t="shared" ref="C7:C54" si="0">NETWORKDAYS(D7,E7)</f>
        <v>5</v>
      </c>
      <c r="D7" s="28">
        <f>MIN(D8:D11)</f>
        <v>46244</v>
      </c>
      <c r="E7" s="28">
        <f>MAX(E8:E11)</f>
        <v>46248</v>
      </c>
      <c r="F7" s="26" t="s">
        <v>11</v>
      </c>
      <c r="G7" s="29" t="s">
        <v>12</v>
      </c>
    </row>
    <row r="8" spans="1:7" ht="15" customHeight="1" x14ac:dyDescent="0.3">
      <c r="A8" s="15" t="s">
        <v>13</v>
      </c>
      <c r="B8" s="13" t="s">
        <v>14</v>
      </c>
      <c r="C8" s="12">
        <f t="shared" si="0"/>
        <v>1</v>
      </c>
      <c r="D8" s="14">
        <v>46244</v>
      </c>
      <c r="E8" s="14">
        <v>46244</v>
      </c>
      <c r="F8" s="13" t="s">
        <v>15</v>
      </c>
      <c r="G8" s="16" t="s">
        <v>12</v>
      </c>
    </row>
    <row r="9" spans="1:7" ht="15" customHeight="1" x14ac:dyDescent="0.3">
      <c r="A9" s="15" t="s">
        <v>16</v>
      </c>
      <c r="B9" s="13" t="s">
        <v>17</v>
      </c>
      <c r="C9" s="12">
        <f t="shared" si="0"/>
        <v>2</v>
      </c>
      <c r="D9" s="14">
        <v>46244</v>
      </c>
      <c r="E9" s="14">
        <v>46245</v>
      </c>
      <c r="F9" s="13" t="s">
        <v>18</v>
      </c>
      <c r="G9" s="16" t="s">
        <v>12</v>
      </c>
    </row>
    <row r="10" spans="1:7" ht="15" customHeight="1" x14ac:dyDescent="0.3">
      <c r="A10" s="15" t="s">
        <v>19</v>
      </c>
      <c r="B10" s="13" t="s">
        <v>20</v>
      </c>
      <c r="C10" s="12">
        <f t="shared" si="0"/>
        <v>2</v>
      </c>
      <c r="D10" s="14">
        <v>46245</v>
      </c>
      <c r="E10" s="14">
        <v>46246</v>
      </c>
      <c r="F10" s="13" t="s">
        <v>21</v>
      </c>
      <c r="G10" s="16" t="s">
        <v>12</v>
      </c>
    </row>
    <row r="11" spans="1:7" ht="15" customHeight="1" x14ac:dyDescent="0.3">
      <c r="A11" s="15" t="s">
        <v>22</v>
      </c>
      <c r="B11" s="13" t="s">
        <v>23</v>
      </c>
      <c r="C11" s="12">
        <f t="shared" si="0"/>
        <v>2</v>
      </c>
      <c r="D11" s="14">
        <v>46247</v>
      </c>
      <c r="E11" s="14">
        <v>46248</v>
      </c>
      <c r="F11" s="13" t="s">
        <v>24</v>
      </c>
      <c r="G11" s="16" t="s">
        <v>12</v>
      </c>
    </row>
    <row r="12" spans="1:7" ht="15" customHeight="1" x14ac:dyDescent="0.3">
      <c r="A12" s="25" t="s">
        <v>25</v>
      </c>
      <c r="B12" s="26" t="s">
        <v>26</v>
      </c>
      <c r="C12" s="27">
        <f t="shared" si="0"/>
        <v>8</v>
      </c>
      <c r="D12" s="28">
        <f>MIN(D13:D18)</f>
        <v>46246</v>
      </c>
      <c r="E12" s="28">
        <f>MAX(E13:E18)</f>
        <v>46255</v>
      </c>
      <c r="F12" s="26" t="s">
        <v>11</v>
      </c>
      <c r="G12" s="29" t="s">
        <v>12</v>
      </c>
    </row>
    <row r="13" spans="1:7" ht="15" customHeight="1" x14ac:dyDescent="0.3">
      <c r="A13" s="15" t="s">
        <v>27</v>
      </c>
      <c r="B13" s="13" t="s">
        <v>28</v>
      </c>
      <c r="C13" s="12">
        <f t="shared" si="0"/>
        <v>3</v>
      </c>
      <c r="D13" s="14">
        <v>46246</v>
      </c>
      <c r="E13" s="14">
        <v>46248</v>
      </c>
      <c r="F13" s="13" t="s">
        <v>24</v>
      </c>
      <c r="G13" s="16" t="s">
        <v>12</v>
      </c>
    </row>
    <row r="14" spans="1:7" ht="15" customHeight="1" x14ac:dyDescent="0.3">
      <c r="A14" s="15" t="s">
        <v>29</v>
      </c>
      <c r="B14" s="13" t="s">
        <v>1</v>
      </c>
      <c r="C14" s="12">
        <f t="shared" si="0"/>
        <v>2</v>
      </c>
      <c r="D14" s="14">
        <v>46251</v>
      </c>
      <c r="E14" s="14">
        <v>46252</v>
      </c>
      <c r="F14" s="13" t="s">
        <v>30</v>
      </c>
      <c r="G14" s="16" t="s">
        <v>12</v>
      </c>
    </row>
    <row r="15" spans="1:7" ht="15" customHeight="1" x14ac:dyDescent="0.3">
      <c r="A15" s="15" t="s">
        <v>31</v>
      </c>
      <c r="B15" s="13" t="s">
        <v>32</v>
      </c>
      <c r="C15" s="12">
        <f t="shared" si="0"/>
        <v>3</v>
      </c>
      <c r="D15" s="14">
        <v>46251</v>
      </c>
      <c r="E15" s="14">
        <v>46253</v>
      </c>
      <c r="F15" s="13" t="s">
        <v>33</v>
      </c>
      <c r="G15" s="16" t="s">
        <v>12</v>
      </c>
    </row>
    <row r="16" spans="1:7" ht="15" customHeight="1" x14ac:dyDescent="0.3">
      <c r="A16" s="15" t="s">
        <v>34</v>
      </c>
      <c r="B16" s="13" t="s">
        <v>35</v>
      </c>
      <c r="C16" s="12">
        <f t="shared" si="0"/>
        <v>3</v>
      </c>
      <c r="D16" s="14">
        <v>46252</v>
      </c>
      <c r="E16" s="14">
        <v>46254</v>
      </c>
      <c r="F16" s="13" t="s">
        <v>36</v>
      </c>
      <c r="G16" s="16" t="s">
        <v>12</v>
      </c>
    </row>
    <row r="17" spans="1:7" ht="15" customHeight="1" x14ac:dyDescent="0.3">
      <c r="A17" s="15" t="s">
        <v>37</v>
      </c>
      <c r="B17" s="13" t="s">
        <v>38</v>
      </c>
      <c r="C17" s="12">
        <f t="shared" si="0"/>
        <v>3</v>
      </c>
      <c r="D17" s="14">
        <v>46253</v>
      </c>
      <c r="E17" s="14">
        <v>46255</v>
      </c>
      <c r="F17" s="13" t="s">
        <v>39</v>
      </c>
      <c r="G17" s="16" t="s">
        <v>12</v>
      </c>
    </row>
    <row r="18" spans="1:7" ht="15" customHeight="1" x14ac:dyDescent="0.3">
      <c r="A18" s="15" t="s">
        <v>40</v>
      </c>
      <c r="B18" s="13" t="s">
        <v>41</v>
      </c>
      <c r="C18" s="12">
        <f t="shared" si="0"/>
        <v>3</v>
      </c>
      <c r="D18" s="14">
        <v>46253</v>
      </c>
      <c r="E18" s="14">
        <v>46255</v>
      </c>
      <c r="F18" s="13" t="s">
        <v>42</v>
      </c>
      <c r="G18" s="16" t="s">
        <v>43</v>
      </c>
    </row>
    <row r="19" spans="1:7" ht="15" customHeight="1" x14ac:dyDescent="0.3">
      <c r="A19" s="25" t="s">
        <v>44</v>
      </c>
      <c r="B19" s="26" t="s">
        <v>45</v>
      </c>
      <c r="C19" s="27">
        <f t="shared" si="0"/>
        <v>20</v>
      </c>
      <c r="D19" s="28">
        <f>MIN(D20:D25)</f>
        <v>46258</v>
      </c>
      <c r="E19" s="28">
        <f>MAX(E20:E25)</f>
        <v>46283</v>
      </c>
      <c r="F19" s="26" t="s">
        <v>11</v>
      </c>
      <c r="G19" s="29" t="s">
        <v>46</v>
      </c>
    </row>
    <row r="20" spans="1:7" ht="15" customHeight="1" x14ac:dyDescent="0.3">
      <c r="A20" s="15" t="s">
        <v>47</v>
      </c>
      <c r="B20" s="13" t="s">
        <v>48</v>
      </c>
      <c r="C20" s="12">
        <f t="shared" si="0"/>
        <v>3</v>
      </c>
      <c r="D20" s="14">
        <v>46258</v>
      </c>
      <c r="E20" s="14">
        <v>46260</v>
      </c>
      <c r="F20" s="13" t="s">
        <v>49</v>
      </c>
      <c r="G20" s="16" t="s">
        <v>46</v>
      </c>
    </row>
    <row r="21" spans="1:7" ht="15" customHeight="1" x14ac:dyDescent="0.3">
      <c r="A21" s="15" t="s">
        <v>50</v>
      </c>
      <c r="B21" s="13" t="s">
        <v>51</v>
      </c>
      <c r="C21" s="12">
        <f t="shared" si="0"/>
        <v>3</v>
      </c>
      <c r="D21" s="14">
        <v>46260</v>
      </c>
      <c r="E21" s="14">
        <v>46262</v>
      </c>
      <c r="F21" s="13" t="s">
        <v>52</v>
      </c>
      <c r="G21" s="16" t="s">
        <v>46</v>
      </c>
    </row>
    <row r="22" spans="1:7" ht="15" customHeight="1" x14ac:dyDescent="0.3">
      <c r="A22" s="15" t="s">
        <v>53</v>
      </c>
      <c r="B22" s="13" t="s">
        <v>54</v>
      </c>
      <c r="C22" s="12">
        <f t="shared" si="0"/>
        <v>3</v>
      </c>
      <c r="D22" s="14">
        <v>46265</v>
      </c>
      <c r="E22" s="14">
        <v>46267</v>
      </c>
      <c r="F22" s="13" t="s">
        <v>55</v>
      </c>
      <c r="G22" s="16" t="s">
        <v>46</v>
      </c>
    </row>
    <row r="23" spans="1:7" ht="15" customHeight="1" x14ac:dyDescent="0.3">
      <c r="A23" s="15" t="s">
        <v>56</v>
      </c>
      <c r="B23" s="13" t="s">
        <v>57</v>
      </c>
      <c r="C23" s="12">
        <f t="shared" si="0"/>
        <v>6</v>
      </c>
      <c r="D23" s="14">
        <v>46267</v>
      </c>
      <c r="E23" s="14">
        <v>46274</v>
      </c>
      <c r="F23" s="13" t="s">
        <v>58</v>
      </c>
      <c r="G23" s="16" t="s">
        <v>46</v>
      </c>
    </row>
    <row r="24" spans="1:7" ht="15" customHeight="1" x14ac:dyDescent="0.3">
      <c r="A24" s="15" t="s">
        <v>59</v>
      </c>
      <c r="B24" s="13" t="s">
        <v>60</v>
      </c>
      <c r="C24" s="12">
        <f t="shared" si="0"/>
        <v>6</v>
      </c>
      <c r="D24" s="14">
        <v>46274</v>
      </c>
      <c r="E24" s="14">
        <v>46281</v>
      </c>
      <c r="F24" s="13" t="s">
        <v>61</v>
      </c>
      <c r="G24" s="16" t="s">
        <v>46</v>
      </c>
    </row>
    <row r="25" spans="1:7" ht="15" customHeight="1" x14ac:dyDescent="0.3">
      <c r="A25" s="15" t="s">
        <v>62</v>
      </c>
      <c r="B25" s="13" t="s">
        <v>63</v>
      </c>
      <c r="C25" s="12">
        <f t="shared" si="0"/>
        <v>5</v>
      </c>
      <c r="D25" s="14">
        <v>46279</v>
      </c>
      <c r="E25" s="14">
        <v>46283</v>
      </c>
      <c r="F25" s="13" t="s">
        <v>64</v>
      </c>
      <c r="G25" s="16" t="s">
        <v>46</v>
      </c>
    </row>
    <row r="26" spans="1:7" ht="15" customHeight="1" x14ac:dyDescent="0.3">
      <c r="A26" s="25" t="s">
        <v>65</v>
      </c>
      <c r="B26" s="26" t="s">
        <v>66</v>
      </c>
      <c r="C26" s="27">
        <f t="shared" si="0"/>
        <v>28</v>
      </c>
      <c r="D26" s="28">
        <f>MIN(D27:D32)</f>
        <v>46286</v>
      </c>
      <c r="E26" s="28">
        <f>MAX(E27:E32)</f>
        <v>46323</v>
      </c>
      <c r="F26" s="26" t="s">
        <v>11</v>
      </c>
      <c r="G26" s="29" t="s">
        <v>67</v>
      </c>
    </row>
    <row r="27" spans="1:7" ht="15" customHeight="1" x14ac:dyDescent="0.3">
      <c r="A27" s="15" t="s">
        <v>68</v>
      </c>
      <c r="B27" s="13" t="s">
        <v>69</v>
      </c>
      <c r="C27" s="12">
        <f t="shared" si="0"/>
        <v>3</v>
      </c>
      <c r="D27" s="14">
        <v>46286</v>
      </c>
      <c r="E27" s="14">
        <v>46288</v>
      </c>
      <c r="F27" s="13" t="s">
        <v>70</v>
      </c>
      <c r="G27" s="16" t="s">
        <v>67</v>
      </c>
    </row>
    <row r="28" spans="1:7" ht="15" customHeight="1" x14ac:dyDescent="0.3">
      <c r="A28" s="15" t="s">
        <v>71</v>
      </c>
      <c r="B28" s="13" t="s">
        <v>72</v>
      </c>
      <c r="C28" s="12">
        <f t="shared" si="0"/>
        <v>8</v>
      </c>
      <c r="D28" s="14">
        <v>46288</v>
      </c>
      <c r="E28" s="14">
        <v>46297</v>
      </c>
      <c r="F28" s="13" t="s">
        <v>73</v>
      </c>
      <c r="G28" s="16" t="s">
        <v>67</v>
      </c>
    </row>
    <row r="29" spans="1:7" ht="15" customHeight="1" x14ac:dyDescent="0.3">
      <c r="A29" s="15" t="s">
        <v>74</v>
      </c>
      <c r="B29" s="13" t="s">
        <v>75</v>
      </c>
      <c r="C29" s="12">
        <f t="shared" si="0"/>
        <v>11</v>
      </c>
      <c r="D29" s="14">
        <v>46297</v>
      </c>
      <c r="E29" s="14">
        <v>46311</v>
      </c>
      <c r="F29" s="13" t="s">
        <v>76</v>
      </c>
      <c r="G29" s="16" t="s">
        <v>67</v>
      </c>
    </row>
    <row r="30" spans="1:7" ht="15" customHeight="1" x14ac:dyDescent="0.3">
      <c r="A30" s="15" t="s">
        <v>77</v>
      </c>
      <c r="B30" s="13" t="s">
        <v>78</v>
      </c>
      <c r="C30" s="12">
        <f t="shared" si="0"/>
        <v>6</v>
      </c>
      <c r="D30" s="14">
        <v>46311</v>
      </c>
      <c r="E30" s="14">
        <v>46318</v>
      </c>
      <c r="F30" s="13" t="s">
        <v>79</v>
      </c>
      <c r="G30" s="16" t="s">
        <v>67</v>
      </c>
    </row>
    <row r="31" spans="1:7" ht="15" customHeight="1" x14ac:dyDescent="0.3">
      <c r="A31" s="15" t="s">
        <v>80</v>
      </c>
      <c r="B31" s="13" t="s">
        <v>81</v>
      </c>
      <c r="C31" s="12">
        <f t="shared" si="0"/>
        <v>3</v>
      </c>
      <c r="D31" s="14">
        <v>46316</v>
      </c>
      <c r="E31" s="14">
        <v>46318</v>
      </c>
      <c r="F31" s="13" t="s">
        <v>82</v>
      </c>
      <c r="G31" s="16" t="s">
        <v>67</v>
      </c>
    </row>
    <row r="32" spans="1:7" ht="15" customHeight="1" x14ac:dyDescent="0.3">
      <c r="A32" s="15" t="s">
        <v>83</v>
      </c>
      <c r="B32" s="13" t="s">
        <v>84</v>
      </c>
      <c r="C32" s="12">
        <f t="shared" si="0"/>
        <v>3</v>
      </c>
      <c r="D32" s="14">
        <v>46321</v>
      </c>
      <c r="E32" s="14">
        <v>46323</v>
      </c>
      <c r="F32" s="13" t="s">
        <v>85</v>
      </c>
      <c r="G32" s="16" t="s">
        <v>86</v>
      </c>
    </row>
    <row r="33" spans="1:7" ht="15" customHeight="1" x14ac:dyDescent="0.3">
      <c r="A33" s="25" t="s">
        <v>87</v>
      </c>
      <c r="B33" s="26" t="s">
        <v>88</v>
      </c>
      <c r="C33" s="27">
        <f t="shared" si="0"/>
        <v>23</v>
      </c>
      <c r="D33" s="28">
        <f>MIN(D34:D38)</f>
        <v>46307</v>
      </c>
      <c r="E33" s="28">
        <f>MAX(E34:E38)</f>
        <v>46337</v>
      </c>
      <c r="F33" s="26" t="s">
        <v>11</v>
      </c>
      <c r="G33" s="29" t="s">
        <v>89</v>
      </c>
    </row>
    <row r="34" spans="1:7" ht="15" customHeight="1" x14ac:dyDescent="0.3">
      <c r="A34" s="15" t="s">
        <v>90</v>
      </c>
      <c r="B34" s="13" t="s">
        <v>91</v>
      </c>
      <c r="C34" s="12">
        <f t="shared" si="0"/>
        <v>3</v>
      </c>
      <c r="D34" s="14">
        <v>46307</v>
      </c>
      <c r="E34" s="14">
        <v>46309</v>
      </c>
      <c r="F34" s="13" t="s">
        <v>92</v>
      </c>
      <c r="G34" s="16" t="s">
        <v>89</v>
      </c>
    </row>
    <row r="35" spans="1:7" ht="15" customHeight="1" x14ac:dyDescent="0.3">
      <c r="A35" s="15" t="s">
        <v>93</v>
      </c>
      <c r="B35" s="13" t="s">
        <v>94</v>
      </c>
      <c r="C35" s="12">
        <f t="shared" si="0"/>
        <v>6</v>
      </c>
      <c r="D35" s="14">
        <v>46309</v>
      </c>
      <c r="E35" s="14">
        <v>46316</v>
      </c>
      <c r="F35" s="13" t="s">
        <v>95</v>
      </c>
      <c r="G35" s="16" t="s">
        <v>89</v>
      </c>
    </row>
    <row r="36" spans="1:7" ht="15" customHeight="1" x14ac:dyDescent="0.3">
      <c r="A36" s="15" t="s">
        <v>96</v>
      </c>
      <c r="B36" s="13" t="s">
        <v>97</v>
      </c>
      <c r="C36" s="12">
        <f t="shared" si="0"/>
        <v>13</v>
      </c>
      <c r="D36" s="14">
        <v>46316</v>
      </c>
      <c r="E36" s="14">
        <v>46332</v>
      </c>
      <c r="F36" s="13" t="s">
        <v>98</v>
      </c>
      <c r="G36" s="16" t="s">
        <v>89</v>
      </c>
    </row>
    <row r="37" spans="1:7" ht="15" customHeight="1" x14ac:dyDescent="0.3">
      <c r="A37" s="15" t="s">
        <v>99</v>
      </c>
      <c r="B37" s="13" t="s">
        <v>100</v>
      </c>
      <c r="C37" s="12">
        <f t="shared" si="0"/>
        <v>3</v>
      </c>
      <c r="D37" s="14">
        <v>46330</v>
      </c>
      <c r="E37" s="14">
        <v>46332</v>
      </c>
      <c r="F37" s="13" t="s">
        <v>101</v>
      </c>
      <c r="G37" s="16" t="s">
        <v>102</v>
      </c>
    </row>
    <row r="38" spans="1:7" ht="15" customHeight="1" x14ac:dyDescent="0.3">
      <c r="A38" s="15" t="s">
        <v>103</v>
      </c>
      <c r="B38" s="13" t="s">
        <v>104</v>
      </c>
      <c r="C38" s="12">
        <f t="shared" si="0"/>
        <v>4</v>
      </c>
      <c r="D38" s="14">
        <v>46332</v>
      </c>
      <c r="E38" s="14">
        <v>46337</v>
      </c>
      <c r="F38" s="13" t="s">
        <v>105</v>
      </c>
      <c r="G38" s="16" t="s">
        <v>102</v>
      </c>
    </row>
    <row r="39" spans="1:7" ht="15" customHeight="1" x14ac:dyDescent="0.3">
      <c r="A39" s="25" t="s">
        <v>106</v>
      </c>
      <c r="B39" s="26" t="s">
        <v>107</v>
      </c>
      <c r="C39" s="27">
        <f t="shared" si="0"/>
        <v>35</v>
      </c>
      <c r="D39" s="28">
        <f>MIN(D40:D44)</f>
        <v>46314</v>
      </c>
      <c r="E39" s="28">
        <f>MAX(E40:E44)</f>
        <v>46360</v>
      </c>
      <c r="F39" s="26" t="s">
        <v>11</v>
      </c>
      <c r="G39" s="29" t="s">
        <v>102</v>
      </c>
    </row>
    <row r="40" spans="1:7" ht="15" customHeight="1" x14ac:dyDescent="0.3">
      <c r="A40" s="15" t="s">
        <v>108</v>
      </c>
      <c r="B40" s="13" t="s">
        <v>109</v>
      </c>
      <c r="C40" s="12">
        <f t="shared" si="0"/>
        <v>3</v>
      </c>
      <c r="D40" s="14">
        <v>46314</v>
      </c>
      <c r="E40" s="14">
        <v>46316</v>
      </c>
      <c r="F40" s="13" t="s">
        <v>79</v>
      </c>
      <c r="G40" s="16" t="s">
        <v>67</v>
      </c>
    </row>
    <row r="41" spans="1:7" ht="15" customHeight="1" x14ac:dyDescent="0.3">
      <c r="A41" s="15" t="s">
        <v>110</v>
      </c>
      <c r="B41" s="13" t="s">
        <v>111</v>
      </c>
      <c r="C41" s="12">
        <f t="shared" si="0"/>
        <v>3</v>
      </c>
      <c r="D41" s="14">
        <v>46321</v>
      </c>
      <c r="E41" s="14">
        <v>46323</v>
      </c>
      <c r="F41" s="13" t="s">
        <v>112</v>
      </c>
      <c r="G41" s="16" t="s">
        <v>102</v>
      </c>
    </row>
    <row r="42" spans="1:7" ht="15" customHeight="1" x14ac:dyDescent="0.3">
      <c r="A42" s="15" t="s">
        <v>113</v>
      </c>
      <c r="B42" s="13" t="s">
        <v>114</v>
      </c>
      <c r="C42" s="12">
        <f t="shared" si="0"/>
        <v>3</v>
      </c>
      <c r="D42" s="14">
        <v>46328</v>
      </c>
      <c r="E42" s="14">
        <v>46330</v>
      </c>
      <c r="F42" s="13" t="s">
        <v>115</v>
      </c>
      <c r="G42" s="16" t="s">
        <v>67</v>
      </c>
    </row>
    <row r="43" spans="1:7" ht="15" customHeight="1" x14ac:dyDescent="0.3">
      <c r="A43" s="15" t="s">
        <v>116</v>
      </c>
      <c r="B43" s="13" t="s">
        <v>117</v>
      </c>
      <c r="C43" s="12">
        <f t="shared" si="0"/>
        <v>3</v>
      </c>
      <c r="D43" s="14">
        <v>46335</v>
      </c>
      <c r="E43" s="14">
        <v>46337</v>
      </c>
      <c r="F43" s="13" t="s">
        <v>118</v>
      </c>
      <c r="G43" s="16" t="s">
        <v>102</v>
      </c>
    </row>
    <row r="44" spans="1:7" ht="15" customHeight="1" x14ac:dyDescent="0.3">
      <c r="A44" s="15" t="s">
        <v>119</v>
      </c>
      <c r="B44" s="13" t="s">
        <v>120</v>
      </c>
      <c r="C44" s="12">
        <f t="shared" si="0"/>
        <v>3</v>
      </c>
      <c r="D44" s="14">
        <v>46358</v>
      </c>
      <c r="E44" s="14">
        <v>46360</v>
      </c>
      <c r="F44" s="13" t="s">
        <v>121</v>
      </c>
      <c r="G44" s="16" t="s">
        <v>67</v>
      </c>
    </row>
    <row r="45" spans="1:7" ht="15" customHeight="1" x14ac:dyDescent="0.3">
      <c r="A45" s="25" t="s">
        <v>122</v>
      </c>
      <c r="B45" s="26" t="s">
        <v>123</v>
      </c>
      <c r="C45" s="27">
        <f t="shared" si="0"/>
        <v>15</v>
      </c>
      <c r="D45" s="28">
        <f>MIN(D46:D49)</f>
        <v>46356</v>
      </c>
      <c r="E45" s="28">
        <f>MAX(E46:E49)</f>
        <v>46374</v>
      </c>
      <c r="F45" s="26" t="s">
        <v>11</v>
      </c>
      <c r="G45" s="29" t="s">
        <v>89</v>
      </c>
    </row>
    <row r="46" spans="1:7" ht="15" customHeight="1" x14ac:dyDescent="0.3">
      <c r="A46" s="15" t="s">
        <v>124</v>
      </c>
      <c r="B46" s="13" t="s">
        <v>125</v>
      </c>
      <c r="C46" s="12">
        <f t="shared" si="0"/>
        <v>8</v>
      </c>
      <c r="D46" s="14">
        <v>46356</v>
      </c>
      <c r="E46" s="14">
        <v>46365</v>
      </c>
      <c r="F46" s="13" t="s">
        <v>126</v>
      </c>
      <c r="G46" s="16" t="s">
        <v>89</v>
      </c>
    </row>
    <row r="47" spans="1:7" ht="15" customHeight="1" x14ac:dyDescent="0.3">
      <c r="A47" s="15" t="s">
        <v>127</v>
      </c>
      <c r="B47" s="13" t="s">
        <v>128</v>
      </c>
      <c r="C47" s="12">
        <f t="shared" si="0"/>
        <v>3</v>
      </c>
      <c r="D47" s="14">
        <v>46363</v>
      </c>
      <c r="E47" s="14">
        <v>46365</v>
      </c>
      <c r="F47" s="13" t="s">
        <v>129</v>
      </c>
      <c r="G47" s="16" t="s">
        <v>89</v>
      </c>
    </row>
    <row r="48" spans="1:7" ht="15" customHeight="1" x14ac:dyDescent="0.3">
      <c r="A48" s="15" t="s">
        <v>130</v>
      </c>
      <c r="B48" s="13" t="s">
        <v>131</v>
      </c>
      <c r="C48" s="12">
        <f t="shared" si="0"/>
        <v>3</v>
      </c>
      <c r="D48" s="14">
        <v>46365</v>
      </c>
      <c r="E48" s="14">
        <v>46367</v>
      </c>
      <c r="F48" s="13" t="s">
        <v>132</v>
      </c>
      <c r="G48" s="16" t="s">
        <v>67</v>
      </c>
    </row>
    <row r="49" spans="1:7" ht="15" customHeight="1" x14ac:dyDescent="0.3">
      <c r="A49" s="15" t="s">
        <v>133</v>
      </c>
      <c r="B49" s="13" t="s">
        <v>134</v>
      </c>
      <c r="C49" s="12">
        <f t="shared" si="0"/>
        <v>5</v>
      </c>
      <c r="D49" s="14">
        <v>46370</v>
      </c>
      <c r="E49" s="14">
        <v>46374</v>
      </c>
      <c r="F49" s="13" t="s">
        <v>135</v>
      </c>
      <c r="G49" s="16" t="s">
        <v>136</v>
      </c>
    </row>
    <row r="50" spans="1:7" ht="15" customHeight="1" x14ac:dyDescent="0.3">
      <c r="A50" s="25" t="s">
        <v>137</v>
      </c>
      <c r="B50" s="26" t="s">
        <v>138</v>
      </c>
      <c r="C50" s="27">
        <f t="shared" si="0"/>
        <v>5</v>
      </c>
      <c r="D50" s="28">
        <f>MIN(D51:D54)</f>
        <v>46373</v>
      </c>
      <c r="E50" s="28">
        <f>MAX(E51:E54)</f>
        <v>46379</v>
      </c>
      <c r="F50" s="26" t="s">
        <v>11</v>
      </c>
      <c r="G50" s="29" t="s">
        <v>12</v>
      </c>
    </row>
    <row r="51" spans="1:7" ht="15" customHeight="1" x14ac:dyDescent="0.3">
      <c r="A51" s="15" t="s">
        <v>139</v>
      </c>
      <c r="B51" s="13" t="s">
        <v>140</v>
      </c>
      <c r="C51" s="12">
        <f t="shared" si="0"/>
        <v>2</v>
      </c>
      <c r="D51" s="14">
        <v>46373</v>
      </c>
      <c r="E51" s="14">
        <v>46374</v>
      </c>
      <c r="F51" s="13" t="s">
        <v>141</v>
      </c>
      <c r="G51" s="16" t="s">
        <v>12</v>
      </c>
    </row>
    <row r="52" spans="1:7" ht="15" customHeight="1" x14ac:dyDescent="0.3">
      <c r="A52" s="15" t="s">
        <v>142</v>
      </c>
      <c r="B52" s="13" t="s">
        <v>143</v>
      </c>
      <c r="C52" s="12">
        <f t="shared" si="0"/>
        <v>2</v>
      </c>
      <c r="D52" s="14">
        <v>46377</v>
      </c>
      <c r="E52" s="14">
        <v>46378</v>
      </c>
      <c r="F52" s="13" t="s">
        <v>144</v>
      </c>
      <c r="G52" s="16" t="s">
        <v>12</v>
      </c>
    </row>
    <row r="53" spans="1:7" ht="15" customHeight="1" x14ac:dyDescent="0.3">
      <c r="A53" s="15" t="s">
        <v>145</v>
      </c>
      <c r="B53" s="13" t="s">
        <v>146</v>
      </c>
      <c r="C53" s="12">
        <f t="shared" si="0"/>
        <v>2</v>
      </c>
      <c r="D53" s="14">
        <v>46378</v>
      </c>
      <c r="E53" s="14">
        <v>46379</v>
      </c>
      <c r="F53" s="13" t="s">
        <v>147</v>
      </c>
      <c r="G53" s="16" t="s">
        <v>12</v>
      </c>
    </row>
    <row r="54" spans="1:7" ht="15" customHeight="1" x14ac:dyDescent="0.3">
      <c r="A54" s="20" t="s">
        <v>148</v>
      </c>
      <c r="B54" s="21" t="s">
        <v>149</v>
      </c>
      <c r="C54" s="22">
        <f t="shared" si="0"/>
        <v>1</v>
      </c>
      <c r="D54" s="23">
        <v>46379</v>
      </c>
      <c r="E54" s="23">
        <v>46379</v>
      </c>
      <c r="F54" s="21" t="s">
        <v>150</v>
      </c>
      <c r="G54" s="24" t="s">
        <v>86</v>
      </c>
    </row>
    <row r="56" spans="1:7" ht="15" customHeight="1" x14ac:dyDescent="0.3">
      <c r="A56" s="5" t="s">
        <v>151</v>
      </c>
      <c r="D56" s="6">
        <f>MIN(D7:D54)</f>
        <v>46244</v>
      </c>
    </row>
    <row r="57" spans="1:7" ht="15" customHeight="1" x14ac:dyDescent="0.3">
      <c r="A57" s="5" t="s">
        <v>152</v>
      </c>
      <c r="D57" s="6">
        <f>MAX(E7:E54)</f>
        <v>46379</v>
      </c>
    </row>
    <row r="58" spans="1:7" ht="15" customHeight="1" x14ac:dyDescent="0.3">
      <c r="A58" s="5" t="s">
        <v>153</v>
      </c>
      <c r="D58" s="7">
        <f>ROUND((D57-D56)/7,1)</f>
        <v>19.3</v>
      </c>
    </row>
    <row r="60" spans="1:7" ht="15" customHeight="1" x14ac:dyDescent="0.3">
      <c r="A60" s="5" t="s">
        <v>154</v>
      </c>
    </row>
    <row r="61" spans="1:7" ht="15" customHeight="1" x14ac:dyDescent="0.3">
      <c r="A61" s="1" t="s">
        <v>155</v>
      </c>
      <c r="B61" s="1"/>
      <c r="C61" s="1"/>
      <c r="D61" s="1"/>
      <c r="E61" s="1"/>
      <c r="F61" s="1"/>
      <c r="G61" s="1"/>
    </row>
    <row r="62" spans="1:7" ht="15" customHeight="1" x14ac:dyDescent="0.3">
      <c r="A62" s="1" t="s">
        <v>156</v>
      </c>
      <c r="B62" s="1"/>
      <c r="C62" s="1"/>
      <c r="D62" s="1"/>
      <c r="E62" s="1"/>
      <c r="F62" s="1"/>
      <c r="G62" s="1"/>
    </row>
    <row r="63" spans="1:7" ht="15" customHeight="1" x14ac:dyDescent="0.3">
      <c r="A63" s="1" t="s">
        <v>157</v>
      </c>
      <c r="B63" s="1"/>
      <c r="C63" s="1"/>
      <c r="D63" s="1"/>
      <c r="E63" s="1"/>
      <c r="F63" s="1"/>
      <c r="G63" s="1"/>
    </row>
    <row r="64" spans="1:7" ht="15" customHeight="1" x14ac:dyDescent="0.3">
      <c r="A64" s="1" t="s">
        <v>158</v>
      </c>
      <c r="B64" s="1"/>
      <c r="C64" s="1"/>
      <c r="D64" s="1"/>
      <c r="E64" s="1"/>
      <c r="F64" s="1"/>
      <c r="G64" s="1"/>
    </row>
    <row r="65" spans="1:7" ht="15" customHeight="1" x14ac:dyDescent="0.3">
      <c r="A65" s="1" t="s">
        <v>159</v>
      </c>
      <c r="B65" s="1"/>
      <c r="C65" s="1"/>
      <c r="D65" s="1"/>
      <c r="E65" s="1"/>
      <c r="F65" s="1"/>
      <c r="G65" s="1"/>
    </row>
  </sheetData>
  <mergeCells count="8">
    <mergeCell ref="A1:G1"/>
    <mergeCell ref="A2:G2"/>
    <mergeCell ref="A3:G3"/>
    <mergeCell ref="A61:G61"/>
    <mergeCell ref="A62:G62"/>
    <mergeCell ref="A63:G63"/>
    <mergeCell ref="A64:G64"/>
    <mergeCell ref="A65:G6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/>
  </sheetViews>
  <sheetFormatPr defaultColWidth="8.6640625" defaultRowHeight="14.4" x14ac:dyDescent="0.3"/>
  <sheetData>
    <row r="1" spans="1:1" ht="15.6" x14ac:dyDescent="0.3">
      <c r="A1" s="2" t="s">
        <v>0</v>
      </c>
    </row>
    <row r="2" spans="1:1" ht="17.399999999999999" x14ac:dyDescent="0.3">
      <c r="A2" s="3" t="s">
        <v>160</v>
      </c>
    </row>
    <row r="3" spans="1:1" x14ac:dyDescent="0.3">
      <c r="A3" s="4" t="s">
        <v>161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Schedule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2026-08-14T10:19:51Z</dcterms:created>
  <dcterms:modified xsi:type="dcterms:W3CDTF">2026-08-16T14:02:49Z</dcterms:modified>
  <dc:language>en-US</dc:language>
</cp:coreProperties>
</file>